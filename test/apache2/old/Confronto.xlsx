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Marco-Personali\Dottorato\Code project\Kernel-Shadow-Stack\test\apache2\"/>
    </mc:Choice>
  </mc:AlternateContent>
  <xr:revisionPtr revIDLastSave="0" documentId="8_{4AE43AE6-D114-49C9-8659-25DEE78450E1}" xr6:coauthVersionLast="47" xr6:coauthVersionMax="47" xr10:uidLastSave="{00000000-0000-0000-0000-000000000000}"/>
  <bookViews>
    <workbookView xWindow="-96" yWindow="-96" windowWidth="20928" windowHeight="12432" activeTab="1" xr2:uid="{00000000-000D-0000-FFFF-FFFF00000000}"/>
  </bookViews>
  <sheets>
    <sheet name="Sheet1" sheetId="4" r:id="rId1"/>
    <sheet name="not-instru-clean" sheetId="6" r:id="rId2"/>
    <sheet name="instru-clean" sheetId="7" r:id="rId3"/>
    <sheet name="not-instrumented" sheetId="3" r:id="rId4"/>
    <sheet name="instrumented" sheetId="2" r:id="rId5"/>
  </sheets>
  <definedNames>
    <definedName name="ExternalData_1" localSheetId="4" hidden="1">instrumented!$A$1:$AG$13</definedName>
    <definedName name="ExternalData_2" localSheetId="3" hidden="1">'not-instrumented'!$A$1:$AG$13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H8" i="4"/>
  <c r="H3" i="4"/>
  <c r="H4" i="4"/>
  <c r="H5" i="4"/>
  <c r="H6" i="4"/>
  <c r="H7" i="4"/>
  <c r="H9" i="4"/>
  <c r="H10" i="4"/>
  <c r="H12" i="4"/>
  <c r="H13" i="4"/>
  <c r="H14" i="4"/>
  <c r="H15" i="4"/>
  <c r="H16" i="4"/>
  <c r="H17" i="4"/>
  <c r="H18" i="4"/>
  <c r="H19" i="4"/>
  <c r="F19" i="4"/>
  <c r="F18" i="4"/>
  <c r="F3" i="4"/>
  <c r="F4" i="4"/>
  <c r="F5" i="4"/>
  <c r="F6" i="4"/>
  <c r="F7" i="4"/>
  <c r="F9" i="4"/>
  <c r="F10" i="4"/>
  <c r="F12" i="4"/>
  <c r="F13" i="4"/>
  <c r="F14" i="4"/>
  <c r="F15" i="4"/>
  <c r="F16" i="4"/>
  <c r="F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5033AF-3BBF-4AAD-847F-676235317BA6}" keepAlive="1" name="Query - instrumented" description="Connection to the 'instrumented' query in the workbook." type="5" refreshedVersion="8" background="1" saveData="1">
    <dbPr connection="Provider=Microsoft.Mashup.OleDb.1;Data Source=$Workbook$;Location=instrumented;Extended Properties=&quot;&quot;" command="SELECT * FROM [instrumented]"/>
  </connection>
  <connection id="2" xr16:uid="{42D8DC92-73AF-4916-BB21-698AD694F29E}" keepAlive="1" name="Query - not-instrumented" description="Connection to the 'not-instrumented' query in the workbook." type="5" refreshedVersion="8" background="1" saveData="1">
    <dbPr connection="Provider=Microsoft.Mashup.OleDb.1;Data Source=$Workbook$;Location=not-instrumented;Extended Properties=&quot;&quot;" command="SELECT * FROM [not-instrumented]"/>
  </connection>
</connections>
</file>

<file path=xl/sharedStrings.xml><?xml version="1.0" encoding="utf-8"?>
<sst xmlns="http://schemas.openxmlformats.org/spreadsheetml/2006/main" count="270" uniqueCount="72">
  <si>
    <t>server</t>
  </si>
  <si>
    <t>uri</t>
  </si>
  <si>
    <t>port</t>
  </si>
  <si>
    <t>num_connections</t>
  </si>
  <si>
    <t>num_requests</t>
  </si>
  <si>
    <t>total_connections</t>
  </si>
  <si>
    <t>total_requests</t>
  </si>
  <si>
    <t>total_replies</t>
  </si>
  <si>
    <t>total_time</t>
  </si>
  <si>
    <t>connection_rate</t>
  </si>
  <si>
    <t>connection_time_min</t>
  </si>
  <si>
    <t>connection_time_avg</t>
  </si>
  <si>
    <t>connection_time_max</t>
  </si>
  <si>
    <t>connection_time_median</t>
  </si>
  <si>
    <t>connection_time_stddev</t>
  </si>
  <si>
    <t>request_rate</t>
  </si>
  <si>
    <t>request_size</t>
  </si>
  <si>
    <t>reply_rate_min</t>
  </si>
  <si>
    <t>reply_rate_avg</t>
  </si>
  <si>
    <t>reply_rate_max</t>
  </si>
  <si>
    <t>reply_rate_stddev</t>
  </si>
  <si>
    <t>reply_time</t>
  </si>
  <si>
    <t>reply_size_header</t>
  </si>
  <si>
    <t>reply_size_content</t>
  </si>
  <si>
    <t>reply_size_total</t>
  </si>
  <si>
    <t>cpu_time_user</t>
  </si>
  <si>
    <t>cpu_time_system</t>
  </si>
  <si>
    <t>net_io</t>
  </si>
  <si>
    <t>errors_total</t>
  </si>
  <si>
    <t>errors_client_timo</t>
  </si>
  <si>
    <t>errors_socket_timo</t>
  </si>
  <si>
    <t>errors_connrefused</t>
  </si>
  <si>
    <t>errors_connreset</t>
  </si>
  <si>
    <t>test-static.com</t>
  </si>
  <si>
    <t>index.html</t>
  </si>
  <si>
    <t>80</t>
  </si>
  <si>
    <t>1</t>
  </si>
  <si>
    <t>100</t>
  </si>
  <si>
    <t>1000</t>
  </si>
  <si>
    <t>200</t>
  </si>
  <si>
    <t>2000</t>
  </si>
  <si>
    <t>400</t>
  </si>
  <si>
    <t>127.0.0.1</t>
  </si>
  <si>
    <t>test-ssmall.com</t>
  </si>
  <si>
    <t>test-dynamic.com</t>
  </si>
  <si>
    <t>/login_user.php?user_email=anindodas@yahoo.in&amp;user_password=anindo</t>
  </si>
  <si>
    <t>10200</t>
  </si>
  <si>
    <t>10100</t>
  </si>
  <si>
    <t>20400</t>
  </si>
  <si>
    <t>20200</t>
  </si>
  <si>
    <t>Test name</t>
  </si>
  <si>
    <t>Large-100</t>
  </si>
  <si>
    <t>Large-200</t>
  </si>
  <si>
    <t>Medium-100</t>
  </si>
  <si>
    <t>Medium-200</t>
  </si>
  <si>
    <t>Small-100</t>
  </si>
  <si>
    <t>Small-200</t>
  </si>
  <si>
    <t>Dynamic-100</t>
  </si>
  <si>
    <t>Dynamic-200</t>
  </si>
  <si>
    <t>Large-100-instru</t>
  </si>
  <si>
    <t>Large-200-instru</t>
  </si>
  <si>
    <t>Medium-100-instru</t>
  </si>
  <si>
    <t>Medium-200-instru</t>
  </si>
  <si>
    <t>Small-100-instru</t>
  </si>
  <si>
    <t>Small-200-instru</t>
  </si>
  <si>
    <t>Dynamic-100-instru</t>
  </si>
  <si>
    <t>Dynamic-200-instru</t>
  </si>
  <si>
    <t>Min Value</t>
  </si>
  <si>
    <t>Median (Q2)</t>
  </si>
  <si>
    <t>Max Value</t>
  </si>
  <si>
    <t>Q1 Value</t>
  </si>
  <si>
    <t>Q3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</si>
</sst>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0251617-1CE5-4823-BBE2-C2E17B098BC6}" autoFormatId="16" applyNumberFormats="0" applyBorderFormats="0" applyFontFormats="0" applyPatternFormats="0" applyAlignmentFormats="0" applyWidthHeightFormats="0">
  <queryTableRefresh nextId="34">
    <queryTableFields count="33">
      <queryTableField id="1" name="server" tableColumnId="1"/>
      <queryTableField id="2" name="uri" tableColumnId="2"/>
      <queryTableField id="3" name="port" tableColumnId="3"/>
      <queryTableField id="4" name="num_connections" tableColumnId="4"/>
      <queryTableField id="5" name="num_requests" tableColumnId="5"/>
      <queryTableField id="6" name="total_connections" tableColumnId="6"/>
      <queryTableField id="7" name="total_requests" tableColumnId="7"/>
      <queryTableField id="8" name="total_replies" tableColumnId="8"/>
      <queryTableField id="9" name="total_time" tableColumnId="9"/>
      <queryTableField id="10" name="connection_rate" tableColumnId="10"/>
      <queryTableField id="11" name="connection_time_min" tableColumnId="11"/>
      <queryTableField id="12" name="connection_time_avg" tableColumnId="12"/>
      <queryTableField id="13" name="connection_time_max" tableColumnId="13"/>
      <queryTableField id="14" name="connection_time_median" tableColumnId="14"/>
      <queryTableField id="15" name="connection_time_stddev" tableColumnId="15"/>
      <queryTableField id="16" name="request_rate" tableColumnId="16"/>
      <queryTableField id="17" name="request_size" tableColumnId="17"/>
      <queryTableField id="18" name="reply_rate_min" tableColumnId="18"/>
      <queryTableField id="19" name="reply_rate_avg" tableColumnId="19"/>
      <queryTableField id="20" name="reply_rate_max" tableColumnId="20"/>
      <queryTableField id="21" name="reply_rate_stddev" tableColumnId="21"/>
      <queryTableField id="22" name="reply_time" tableColumnId="22"/>
      <queryTableField id="23" name="reply_size_header" tableColumnId="23"/>
      <queryTableField id="24" name="reply_size_content" tableColumnId="24"/>
      <queryTableField id="25" name="reply_size_total" tableColumnId="25"/>
      <queryTableField id="26" name="cpu_time_user" tableColumnId="26"/>
      <queryTableField id="27" name="cpu_time_system" tableColumnId="27"/>
      <queryTableField id="28" name="net_io" tableColumnId="28"/>
      <queryTableField id="29" name="errors_total" tableColumnId="29"/>
      <queryTableField id="30" name="errors_client_timo" tableColumnId="30"/>
      <queryTableField id="31" name="errors_socket_timo" tableColumnId="31"/>
      <queryTableField id="32" name="errors_connrefused" tableColumnId="32"/>
      <queryTableField id="33" name="errors_connreset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ED580F-BEF5-4F6E-B416-F7DC02027723}" autoFormatId="16" applyNumberFormats="0" applyBorderFormats="0" applyFontFormats="0" applyPatternFormats="0" applyAlignmentFormats="0" applyWidthHeightFormats="0">
  <queryTableRefresh nextId="34">
    <queryTableFields count="33">
      <queryTableField id="1" name="server" tableColumnId="1"/>
      <queryTableField id="2" name="uri" tableColumnId="2"/>
      <queryTableField id="3" name="port" tableColumnId="3"/>
      <queryTableField id="4" name="num_connections" tableColumnId="4"/>
      <queryTableField id="5" name="num_requests" tableColumnId="5"/>
      <queryTableField id="6" name="total_connections" tableColumnId="6"/>
      <queryTableField id="7" name="total_requests" tableColumnId="7"/>
      <queryTableField id="8" name="total_replies" tableColumnId="8"/>
      <queryTableField id="9" name="total_time" tableColumnId="9"/>
      <queryTableField id="10" name="connection_rate" tableColumnId="10"/>
      <queryTableField id="11" name="connection_time_min" tableColumnId="11"/>
      <queryTableField id="12" name="connection_time_avg" tableColumnId="12"/>
      <queryTableField id="13" name="connection_time_max" tableColumnId="13"/>
      <queryTableField id="14" name="connection_time_median" tableColumnId="14"/>
      <queryTableField id="15" name="connection_time_stddev" tableColumnId="15"/>
      <queryTableField id="16" name="request_rate" tableColumnId="16"/>
      <queryTableField id="17" name="request_size" tableColumnId="17"/>
      <queryTableField id="18" name="reply_rate_min" tableColumnId="18"/>
      <queryTableField id="19" name="reply_rate_avg" tableColumnId="19"/>
      <queryTableField id="20" name="reply_rate_max" tableColumnId="20"/>
      <queryTableField id="21" name="reply_rate_stddev" tableColumnId="21"/>
      <queryTableField id="22" name="reply_time" tableColumnId="22"/>
      <queryTableField id="23" name="reply_size_header" tableColumnId="23"/>
      <queryTableField id="24" name="reply_size_content" tableColumnId="24"/>
      <queryTableField id="25" name="reply_size_total" tableColumnId="25"/>
      <queryTableField id="26" name="cpu_time_user" tableColumnId="26"/>
      <queryTableField id="27" name="cpu_time_system" tableColumnId="27"/>
      <queryTableField id="28" name="net_io" tableColumnId="28"/>
      <queryTableField id="29" name="errors_total" tableColumnId="29"/>
      <queryTableField id="30" name="errors_client_timo" tableColumnId="30"/>
      <queryTableField id="31" name="errors_socket_timo" tableColumnId="31"/>
      <queryTableField id="32" name="errors_connrefused" tableColumnId="32"/>
      <queryTableField id="33" name="errors_connreset" tableColumnId="3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E5BDAE-E756-4AD1-A56B-5F82F5CA8A5C}" name="Table3" displayName="Table3" ref="C2:J19" totalsRowShown="0">
  <autoFilter ref="C2:J19" xr:uid="{D3E5BDAE-E756-4AD1-A56B-5F82F5CA8A5C}"/>
  <tableColumns count="8">
    <tableColumn id="1" xr3:uid="{EAAAB66B-B011-418D-9668-66ACEF2BFF37}" name="Test name"/>
    <tableColumn id="7" xr3:uid="{CBFF9669-263F-41B1-88D1-F6CD65E5C615}" name="connection_time_avg"/>
    <tableColumn id="2" xr3:uid="{D141E780-603F-4C97-A6EE-8CDE2F0CCA69}" name="Min Value"/>
    <tableColumn id="10" xr3:uid="{A40A9341-43AB-4F00-8564-CE09F0114972}" name="Q1 Value" dataDxfId="11">
      <calculatedColumnFormula>Table3[[#This Row],[connection_time_avg]]-0.675*Table3[[#This Row],[connection_time_stddev]]</calculatedColumnFormula>
    </tableColumn>
    <tableColumn id="4" xr3:uid="{DD31BC62-7AF3-4CBE-AA62-572D605CFF8B}" name="Median (Q2)"/>
    <tableColumn id="11" xr3:uid="{AE632583-D7BD-47D5-8952-AB8FC66D6646}" name="Q3 Value" dataDxfId="10">
      <calculatedColumnFormula>Table3[[#This Row],[connection_time_avg]]+0.675*Table3[[#This Row],[connection_time_stddev]]</calculatedColumnFormula>
    </tableColumn>
    <tableColumn id="8" xr3:uid="{3D56C56C-C262-4CAC-88E9-20E6238C6F81}" name="Max Value"/>
    <tableColumn id="6" xr3:uid="{3B3D7BBB-15E5-4A7E-8926-974F287CAFB6}" name="connection_time_stddev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5EBC9D-0D78-41EE-B2E6-9CDFE69DA80D}" name="Table35" displayName="Table35" ref="C22:H30" totalsRowShown="0">
  <autoFilter ref="C22:H30" xr:uid="{395EBC9D-0D78-41EE-B2E6-9CDFE69DA80D}"/>
  <tableColumns count="6">
    <tableColumn id="1" xr3:uid="{5B33A734-326F-44C2-B1B9-88BCF13CA9A7}" name="Test name"/>
    <tableColumn id="2" xr3:uid="{DE52EF63-A45B-417A-AAFA-E366009A8EF2}" name="connection_time_min"/>
    <tableColumn id="3" xr3:uid="{DCCF5AD2-5F43-4094-BA15-3809459EDE5A}" name="connection_time_avg"/>
    <tableColumn id="4" xr3:uid="{F1C5D0CD-D466-4F5E-A374-09BC1525D0EF}" name="connection_time_max"/>
    <tableColumn id="5" xr3:uid="{81BE9A29-3CB0-41AF-9465-285B338EC5FE}" name="connection_time_median"/>
    <tableColumn id="6" xr3:uid="{ED4B04B7-F679-423D-9771-582537E24327}" name="connection_time_stddev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ED8B2-8376-4F8E-9DA6-54AA9E73C4A5}" name="not_instrumented" displayName="not_instrumented" ref="A1:AG13" tableType="queryTable" totalsRowShown="0">
  <autoFilter ref="A1:AG13" xr:uid="{D0EED8B2-8376-4F8E-9DA6-54AA9E73C4A5}"/>
  <tableColumns count="33">
    <tableColumn id="1" xr3:uid="{A8926F50-2DE1-4830-8E73-5C8832FDC3B6}" uniqueName="1" name="server" queryTableFieldId="1" dataDxfId="9"/>
    <tableColumn id="2" xr3:uid="{8723574B-F7CF-4715-AEDC-075268AF68A8}" uniqueName="2" name="uri" queryTableFieldId="2" dataDxfId="8"/>
    <tableColumn id="3" xr3:uid="{895A9417-7DE8-411C-89F3-BDFB9677347E}" uniqueName="3" name="port" queryTableFieldId="3"/>
    <tableColumn id="4" xr3:uid="{9C4D3B0F-E45B-4564-B6CB-3F1095C75AC0}" uniqueName="4" name="num_connections" queryTableFieldId="4"/>
    <tableColumn id="5" xr3:uid="{1D60402B-841C-4E58-B2EF-AC22D2EBE5B9}" uniqueName="5" name="num_requests" queryTableFieldId="5"/>
    <tableColumn id="6" xr3:uid="{51A3DB8D-3A74-4C9D-83A8-E1247AFBD8CF}" uniqueName="6" name="total_connections" queryTableFieldId="6"/>
    <tableColumn id="7" xr3:uid="{110C9AFD-293E-421C-93AF-620600325963}" uniqueName="7" name="total_requests" queryTableFieldId="7"/>
    <tableColumn id="8" xr3:uid="{32F900EF-D10F-4340-8AFF-ED87120D2C1A}" uniqueName="8" name="total_replies" queryTableFieldId="8"/>
    <tableColumn id="9" xr3:uid="{BD2CBBF4-0246-4B60-9F9A-2FFA729C32FE}" uniqueName="9" name="total_time" queryTableFieldId="9"/>
    <tableColumn id="10" xr3:uid="{B7C90FE5-4F57-4244-ADA8-540B49AEDFEB}" uniqueName="10" name="connection_rate" queryTableFieldId="10"/>
    <tableColumn id="11" xr3:uid="{6762D0F6-3E4B-4026-B3EC-9363D0F0D8DD}" uniqueName="11" name="connection_time_min" queryTableFieldId="11"/>
    <tableColumn id="12" xr3:uid="{A34416C7-ADBA-4EBB-BDEA-4E871454806B}" uniqueName="12" name="connection_time_avg" queryTableFieldId="12"/>
    <tableColumn id="13" xr3:uid="{9260A4F8-5C61-4B71-B0C4-3BC3CA06A930}" uniqueName="13" name="connection_time_max" queryTableFieldId="13"/>
    <tableColumn id="14" xr3:uid="{CD42455B-D935-4ED1-B652-69A8C941E3FE}" uniqueName="14" name="connection_time_median" queryTableFieldId="14"/>
    <tableColumn id="15" xr3:uid="{E9929AB9-B04E-4B70-AA9D-83D458895DA6}" uniqueName="15" name="connection_time_stddev" queryTableFieldId="15"/>
    <tableColumn id="16" xr3:uid="{971829B4-4C7A-4C7D-BF34-164D1AF94B2A}" uniqueName="16" name="request_rate" queryTableFieldId="16"/>
    <tableColumn id="17" xr3:uid="{EDA3390E-9103-4CA8-AE40-D7CAE6562FB1}" uniqueName="17" name="request_size" queryTableFieldId="17"/>
    <tableColumn id="18" xr3:uid="{DD3C79A4-9C1C-4ABB-9F2C-052EF916A077}" uniqueName="18" name="reply_rate_min" queryTableFieldId="18"/>
    <tableColumn id="19" xr3:uid="{CD478CD0-A1AE-4884-876F-72E904DA8636}" uniqueName="19" name="reply_rate_avg" queryTableFieldId="19"/>
    <tableColumn id="20" xr3:uid="{67894F9A-7F15-4F2F-9422-6ABFA2DBA923}" uniqueName="20" name="reply_rate_max" queryTableFieldId="20"/>
    <tableColumn id="21" xr3:uid="{22C43776-7444-4499-8B2B-D772D7B81B32}" uniqueName="21" name="reply_rate_stddev" queryTableFieldId="21"/>
    <tableColumn id="22" xr3:uid="{A9C58B4A-B207-45EE-A1EB-2B0CF603C295}" uniqueName="22" name="reply_time" queryTableFieldId="22"/>
    <tableColumn id="23" xr3:uid="{CC8EE572-C138-4B35-AA25-4A814BFF167F}" uniqueName="23" name="reply_size_header" queryTableFieldId="23"/>
    <tableColumn id="24" xr3:uid="{2E84BF12-D83C-466B-94C4-30B0C802A5D6}" uniqueName="24" name="reply_size_content" queryTableFieldId="24"/>
    <tableColumn id="25" xr3:uid="{606CC95F-53CE-4DF8-A4E9-CA311C8C676A}" uniqueName="25" name="reply_size_total" queryTableFieldId="25"/>
    <tableColumn id="26" xr3:uid="{690B4C32-B170-4D7A-AA94-F912EC1EE691}" uniqueName="26" name="cpu_time_user" queryTableFieldId="26"/>
    <tableColumn id="27" xr3:uid="{DFEF13E4-A44F-4A64-B8C1-99C906E9333D}" uniqueName="27" name="cpu_time_system" queryTableFieldId="27"/>
    <tableColumn id="28" xr3:uid="{426BB28C-1750-41A7-B1A2-631E54FA4B14}" uniqueName="28" name="net_io" queryTableFieldId="28"/>
    <tableColumn id="29" xr3:uid="{9D22B2A5-13BE-44BB-8F5D-48DA70B0130A}" uniqueName="29" name="errors_total" queryTableFieldId="29"/>
    <tableColumn id="30" xr3:uid="{1DBC94CD-D8DF-4095-8DF6-AC51F35C6A7B}" uniqueName="30" name="errors_client_timo" queryTableFieldId="30"/>
    <tableColumn id="31" xr3:uid="{FE1C0737-3622-4F56-B0EE-F9A2568AE4C3}" uniqueName="31" name="errors_socket_timo" queryTableFieldId="31"/>
    <tableColumn id="32" xr3:uid="{2E0E120A-4CA0-46F5-8B7A-2D583759BC43}" uniqueName="32" name="errors_connrefused" queryTableFieldId="32"/>
    <tableColumn id="33" xr3:uid="{FB4F3B85-DFEF-4E6F-AFF0-FDD5E9555148}" uniqueName="33" name="errors_connreset" queryTableFieldId="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871A7-A706-4CC2-BEB3-AAB7B35202EF}" name="instrumented" displayName="instrumented" ref="A1:AG13" tableType="queryTable" totalsRowShown="0">
  <autoFilter ref="A1:AG13" xr:uid="{8C0871A7-A706-4CC2-BEB3-AAB7B35202EF}"/>
  <tableColumns count="33">
    <tableColumn id="1" xr3:uid="{50D8CDC0-5821-4386-9453-AA48E9244107}" uniqueName="1" name="server" queryTableFieldId="1" dataDxfId="7"/>
    <tableColumn id="2" xr3:uid="{E360136C-C94C-4633-BD5E-D8692D6E7C81}" uniqueName="2" name="uri" queryTableFieldId="2" dataDxfId="6"/>
    <tableColumn id="3" xr3:uid="{823F73AD-4E23-47FC-9A87-C6EBFA08EF23}" uniqueName="3" name="port" queryTableFieldId="3" dataDxfId="5"/>
    <tableColumn id="4" xr3:uid="{235A84E3-3C87-4387-86D4-480AB7D491E5}" uniqueName="4" name="num_connections" queryTableFieldId="4" dataDxfId="4"/>
    <tableColumn id="5" xr3:uid="{AE5A482A-56F7-4ECD-B268-0FA7EF68F84A}" uniqueName="5" name="num_requests" queryTableFieldId="5" dataDxfId="3"/>
    <tableColumn id="6" xr3:uid="{580170E6-9C90-4DA2-BE39-BB99DB155EE4}" uniqueName="6" name="total_connections" queryTableFieldId="6" dataDxfId="2"/>
    <tableColumn id="7" xr3:uid="{217C87D4-D922-4D19-A582-0F9F4659BDEF}" uniqueName="7" name="total_requests" queryTableFieldId="7" dataDxfId="1"/>
    <tableColumn id="8" xr3:uid="{BAD3A35E-C7B7-4EA4-B96F-0EFABB2AA86B}" uniqueName="8" name="total_replies" queryTableFieldId="8" dataDxfId="0"/>
    <tableColumn id="9" xr3:uid="{C8D0184F-0CFC-45F0-84A5-422BFFB17663}" uniqueName="9" name="total_time" queryTableFieldId="9"/>
    <tableColumn id="10" xr3:uid="{9688E130-6301-4712-A29F-DE992ED23162}" uniqueName="10" name="connection_rate" queryTableFieldId="10"/>
    <tableColumn id="11" xr3:uid="{649066E3-86F1-4471-A9B3-63784C643BAD}" uniqueName="11" name="connection_time_min" queryTableFieldId="11"/>
    <tableColumn id="12" xr3:uid="{8E41997D-43A5-4E55-AC81-DEDA216E167B}" uniqueName="12" name="connection_time_avg" queryTableFieldId="12"/>
    <tableColumn id="13" xr3:uid="{7122E380-6737-4731-B096-4511395C05AA}" uniqueName="13" name="connection_time_max" queryTableFieldId="13"/>
    <tableColumn id="14" xr3:uid="{A5AF6B30-D041-4661-A454-029946854D80}" uniqueName="14" name="connection_time_median" queryTableFieldId="14"/>
    <tableColumn id="15" xr3:uid="{1BBADCA0-9B5C-4624-B626-C9E9A513CBE3}" uniqueName="15" name="connection_time_stddev" queryTableFieldId="15"/>
    <tableColumn id="16" xr3:uid="{7ADBE60C-59F4-4897-AF72-9D89BD986B0A}" uniqueName="16" name="request_rate" queryTableFieldId="16"/>
    <tableColumn id="17" xr3:uid="{AFE8AE43-A4B9-4603-A9F4-58A668201349}" uniqueName="17" name="request_size" queryTableFieldId="17"/>
    <tableColumn id="18" xr3:uid="{E69C0DD1-B5A5-4F18-8C4A-E1A5D15DFAC1}" uniqueName="18" name="reply_rate_min" queryTableFieldId="18"/>
    <tableColumn id="19" xr3:uid="{FC088113-63E0-4544-BA76-000822D82B3A}" uniqueName="19" name="reply_rate_avg" queryTableFieldId="19"/>
    <tableColumn id="20" xr3:uid="{652D56F1-6F4D-40C5-AB5A-9C670C7E7F16}" uniqueName="20" name="reply_rate_max" queryTableFieldId="20"/>
    <tableColumn id="21" xr3:uid="{A8A9D3DE-1006-4F4E-93B7-808E4D282137}" uniqueName="21" name="reply_rate_stddev" queryTableFieldId="21"/>
    <tableColumn id="22" xr3:uid="{8468C22C-E898-49B3-8E63-594F6179B85A}" uniqueName="22" name="reply_time" queryTableFieldId="22"/>
    <tableColumn id="23" xr3:uid="{E56F0777-8291-4E55-AF77-320916371904}" uniqueName="23" name="reply_size_header" queryTableFieldId="23"/>
    <tableColumn id="24" xr3:uid="{59FB48C6-BEC0-47AB-97F3-B2EB12E68923}" uniqueName="24" name="reply_size_content" queryTableFieldId="24"/>
    <tableColumn id="25" xr3:uid="{B481CF3C-AC3A-4715-9BB1-939BA67786F6}" uniqueName="25" name="reply_size_total" queryTableFieldId="25"/>
    <tableColumn id="26" xr3:uid="{63A4F64B-B116-4BE9-89D4-7C4270F02670}" uniqueName="26" name="cpu_time_user" queryTableFieldId="26"/>
    <tableColumn id="27" xr3:uid="{36857C05-BC23-4D13-8F57-6542CDFC0798}" uniqueName="27" name="cpu_time_system" queryTableFieldId="27"/>
    <tableColumn id="28" xr3:uid="{BA43D9CE-3712-42F5-9D67-2FEC1B0B4431}" uniqueName="28" name="net_io" queryTableFieldId="28"/>
    <tableColumn id="29" xr3:uid="{782B3AE4-4576-4F4E-9074-5CADE4D30F78}" uniqueName="29" name="errors_total" queryTableFieldId="29"/>
    <tableColumn id="30" xr3:uid="{77854D0F-6503-467E-B9B6-1BA39A743969}" uniqueName="30" name="errors_client_timo" queryTableFieldId="30"/>
    <tableColumn id="31" xr3:uid="{252E6EE0-4CFE-419E-B8EF-17F25A2438E7}" uniqueName="31" name="errors_socket_timo" queryTableFieldId="31"/>
    <tableColumn id="32" xr3:uid="{EF122F7F-4CAC-4974-936F-36A8B5E85B61}" uniqueName="32" name="errors_connrefused" queryTableFieldId="32"/>
    <tableColumn id="33" xr3:uid="{307C9EBB-737E-4787-8106-73F653BE9B77}" uniqueName="33" name="errors_connreset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BF2A-DA32-4A7A-85A3-EF56BDA59807}">
  <dimension ref="C2:O30"/>
  <sheetViews>
    <sheetView topLeftCell="B1" workbookViewId="0">
      <selection activeCell="J10" sqref="C3:J10"/>
    </sheetView>
  </sheetViews>
  <sheetFormatPr defaultRowHeight="14.4" x14ac:dyDescent="0.55000000000000004"/>
  <cols>
    <col min="3" max="3" width="16.26171875" bestFit="1" customWidth="1"/>
    <col min="4" max="4" width="20.734375" bestFit="1" customWidth="1"/>
    <col min="5" max="5" width="20.47265625" bestFit="1" customWidth="1"/>
    <col min="6" max="6" width="21.05078125" bestFit="1" customWidth="1"/>
    <col min="7" max="7" width="23.7890625" bestFit="1" customWidth="1"/>
    <col min="8" max="8" width="23.20703125" bestFit="1" customWidth="1"/>
    <col min="9" max="9" width="11.47265625" bestFit="1" customWidth="1"/>
    <col min="10" max="10" width="23.578125" customWidth="1"/>
    <col min="11" max="11" width="18.5234375" bestFit="1" customWidth="1"/>
    <col min="12" max="12" width="18.26171875" bestFit="1" customWidth="1"/>
    <col min="13" max="13" width="18.83984375" bestFit="1" customWidth="1"/>
    <col min="14" max="14" width="21.578125" bestFit="1" customWidth="1"/>
    <col min="15" max="15" width="21" bestFit="1" customWidth="1"/>
  </cols>
  <sheetData>
    <row r="2" spans="3:10" x14ac:dyDescent="0.55000000000000004">
      <c r="C2" t="s">
        <v>50</v>
      </c>
      <c r="D2" t="s">
        <v>11</v>
      </c>
      <c r="E2" t="s">
        <v>67</v>
      </c>
      <c r="F2" t="s">
        <v>70</v>
      </c>
      <c r="G2" t="s">
        <v>68</v>
      </c>
      <c r="H2" t="s">
        <v>71</v>
      </c>
      <c r="I2" t="s">
        <v>69</v>
      </c>
      <c r="J2" t="s">
        <v>14</v>
      </c>
    </row>
    <row r="3" spans="3:10" x14ac:dyDescent="0.55000000000000004">
      <c r="C3" t="s">
        <v>51</v>
      </c>
      <c r="D3" s="5">
        <v>0.2</v>
      </c>
      <c r="E3" s="5">
        <v>0.2</v>
      </c>
      <c r="F3">
        <f>Table3[[#This Row],[connection_time_avg]]-0.675*Table3[[#This Row],[connection_time_stddev]]</f>
        <v>0.13250000000000001</v>
      </c>
      <c r="G3" s="5">
        <v>0.5</v>
      </c>
      <c r="H3">
        <f>Table3[[#This Row],[connection_time_avg]]+0.675*Table3[[#This Row],[connection_time_stddev]]</f>
        <v>0.26750000000000002</v>
      </c>
      <c r="I3" s="5">
        <v>0.6</v>
      </c>
      <c r="J3" s="6">
        <v>0.1</v>
      </c>
    </row>
    <row r="4" spans="3:10" x14ac:dyDescent="0.55000000000000004">
      <c r="C4" t="s">
        <v>52</v>
      </c>
      <c r="D4" s="8">
        <v>0.2</v>
      </c>
      <c r="E4" s="8">
        <v>0.2</v>
      </c>
      <c r="F4">
        <f>Table3[[#This Row],[connection_time_avg]]-0.675*Table3[[#This Row],[connection_time_stddev]]</f>
        <v>0.13250000000000001</v>
      </c>
      <c r="G4" s="8">
        <v>0.5</v>
      </c>
      <c r="H4">
        <f>Table3[[#This Row],[connection_time_avg]]+0.675*Table3[[#This Row],[connection_time_stddev]]</f>
        <v>0.26750000000000002</v>
      </c>
      <c r="I4" s="8">
        <v>0.4</v>
      </c>
      <c r="J4" s="9">
        <v>0.1</v>
      </c>
    </row>
    <row r="5" spans="3:10" x14ac:dyDescent="0.55000000000000004">
      <c r="C5" t="s">
        <v>53</v>
      </c>
      <c r="D5" s="5">
        <v>0.2</v>
      </c>
      <c r="E5" s="5">
        <v>0.2</v>
      </c>
      <c r="F5">
        <f>Table3[[#This Row],[connection_time_avg]]-0.675*Table3[[#This Row],[connection_time_stddev]]</f>
        <v>0.13250000000000001</v>
      </c>
      <c r="G5" s="5">
        <v>0.5</v>
      </c>
      <c r="H5">
        <f>Table3[[#This Row],[connection_time_avg]]+0.675*Table3[[#This Row],[connection_time_stddev]]</f>
        <v>0.26750000000000002</v>
      </c>
      <c r="I5" s="5">
        <v>0.6</v>
      </c>
      <c r="J5" s="6">
        <v>0.1</v>
      </c>
    </row>
    <row r="6" spans="3:10" x14ac:dyDescent="0.55000000000000004">
      <c r="C6" t="s">
        <v>54</v>
      </c>
      <c r="D6" s="8">
        <v>0.2</v>
      </c>
      <c r="E6" s="8">
        <v>0.2</v>
      </c>
      <c r="F6">
        <f>Table3[[#This Row],[connection_time_avg]]-0.675*Table3[[#This Row],[connection_time_stddev]]</f>
        <v>0.13250000000000001</v>
      </c>
      <c r="G6" s="8">
        <v>0.5</v>
      </c>
      <c r="H6">
        <f>Table3[[#This Row],[connection_time_avg]]+0.675*Table3[[#This Row],[connection_time_stddev]]</f>
        <v>0.26750000000000002</v>
      </c>
      <c r="I6" s="8">
        <v>0.4</v>
      </c>
      <c r="J6" s="9">
        <v>0.1</v>
      </c>
    </row>
    <row r="7" spans="3:10" x14ac:dyDescent="0.55000000000000004">
      <c r="C7" t="s">
        <v>55</v>
      </c>
      <c r="D7" s="5">
        <v>0.2</v>
      </c>
      <c r="E7" s="5">
        <v>0.2</v>
      </c>
      <c r="F7">
        <f>Table3[[#This Row],[connection_time_avg]]-0.675*Table3[[#This Row],[connection_time_stddev]]</f>
        <v>0.13250000000000001</v>
      </c>
      <c r="G7" s="5">
        <v>0.5</v>
      </c>
      <c r="H7">
        <f>Table3[[#This Row],[connection_time_avg]]+0.675*Table3[[#This Row],[connection_time_stddev]]</f>
        <v>0.26750000000000002</v>
      </c>
      <c r="I7" s="5">
        <v>0.3</v>
      </c>
      <c r="J7" s="6">
        <v>0.1</v>
      </c>
    </row>
    <row r="8" spans="3:10" x14ac:dyDescent="0.55000000000000004">
      <c r="C8" t="s">
        <v>56</v>
      </c>
      <c r="D8" s="8">
        <v>0.2</v>
      </c>
      <c r="E8" s="8">
        <v>0.2</v>
      </c>
      <c r="F8" s="10">
        <f>Table3[[#This Row],[connection_time_avg]]-0.675*Table3[[#This Row],[connection_time_stddev]]</f>
        <v>0.13250000000000001</v>
      </c>
      <c r="G8" s="8">
        <v>0.5</v>
      </c>
      <c r="H8" s="10">
        <f>Table3[[#This Row],[connection_time_avg]]+0.675*Table3[[#This Row],[connection_time_stddev]]</f>
        <v>0.26750000000000002</v>
      </c>
      <c r="I8" s="8">
        <v>0.3</v>
      </c>
      <c r="J8" s="6">
        <v>0.1</v>
      </c>
    </row>
    <row r="9" spans="3:10" x14ac:dyDescent="0.55000000000000004">
      <c r="C9" t="s">
        <v>57</v>
      </c>
      <c r="D9" s="5">
        <v>76</v>
      </c>
      <c r="E9" s="5">
        <v>69</v>
      </c>
      <c r="F9">
        <f>Table3[[#This Row],[connection_time_avg]]-0.675*Table3[[#This Row],[connection_time_stddev]]</f>
        <v>75.932500000000005</v>
      </c>
      <c r="G9" s="5">
        <v>75.5</v>
      </c>
      <c r="H9">
        <f>Table3[[#This Row],[connection_time_avg]]+0.675*Table3[[#This Row],[connection_time_stddev]]</f>
        <v>76.067499999999995</v>
      </c>
      <c r="I9" s="5">
        <v>86.6</v>
      </c>
      <c r="J9" s="9">
        <v>0.1</v>
      </c>
    </row>
    <row r="10" spans="3:10" x14ac:dyDescent="0.55000000000000004">
      <c r="C10" t="s">
        <v>58</v>
      </c>
      <c r="D10" s="8">
        <v>78.7</v>
      </c>
      <c r="E10" s="8">
        <v>68.8</v>
      </c>
      <c r="F10">
        <f>Table3[[#This Row],[connection_time_avg]]-0.675*Table3[[#This Row],[connection_time_stddev]]</f>
        <v>76.067499999999995</v>
      </c>
      <c r="G10" s="8">
        <v>77.5</v>
      </c>
      <c r="H10">
        <f>Table3[[#This Row],[connection_time_avg]]+0.675*Table3[[#This Row],[connection_time_stddev]]</f>
        <v>81.33250000000001</v>
      </c>
      <c r="I10" s="8">
        <v>100.7</v>
      </c>
      <c r="J10" s="6">
        <v>3.9</v>
      </c>
    </row>
    <row r="11" spans="3:10" x14ac:dyDescent="0.55000000000000004">
      <c r="J11" s="9"/>
    </row>
    <row r="12" spans="3:10" x14ac:dyDescent="0.55000000000000004">
      <c r="C12" t="s">
        <v>59</v>
      </c>
      <c r="D12">
        <v>0.4</v>
      </c>
      <c r="E12">
        <v>0.3</v>
      </c>
      <c r="F12">
        <f>Table3[[#This Row],[connection_time_avg]]-0.675*Table3[[#This Row],[connection_time_stddev]]</f>
        <v>0.33250000000000002</v>
      </c>
      <c r="G12">
        <v>0.5</v>
      </c>
      <c r="H12">
        <f>Table3[[#This Row],[connection_time_avg]]+0.675*Table3[[#This Row],[connection_time_stddev]]</f>
        <v>0.46750000000000003</v>
      </c>
      <c r="I12">
        <v>0.8</v>
      </c>
      <c r="J12">
        <v>0.1</v>
      </c>
    </row>
    <row r="13" spans="3:10" x14ac:dyDescent="0.55000000000000004">
      <c r="C13" t="s">
        <v>60</v>
      </c>
      <c r="D13">
        <v>0.3</v>
      </c>
      <c r="E13">
        <v>0.3</v>
      </c>
      <c r="F13">
        <f>Table3[[#This Row],[connection_time_avg]]-0.675*Table3[[#This Row],[connection_time_stddev]]</f>
        <v>0.23249999999999998</v>
      </c>
      <c r="G13">
        <v>0.5</v>
      </c>
      <c r="H13">
        <f>Table3[[#This Row],[connection_time_avg]]+0.675*Table3[[#This Row],[connection_time_stddev]]</f>
        <v>0.36749999999999999</v>
      </c>
      <c r="I13">
        <v>0.5</v>
      </c>
      <c r="J13">
        <v>0.1</v>
      </c>
    </row>
    <row r="14" spans="3:10" x14ac:dyDescent="0.55000000000000004">
      <c r="C14" t="s">
        <v>61</v>
      </c>
      <c r="D14">
        <v>0.5</v>
      </c>
      <c r="E14">
        <v>0.3</v>
      </c>
      <c r="F14">
        <f>Table3[[#This Row],[connection_time_avg]]-0.675*Table3[[#This Row],[connection_time_stddev]]</f>
        <v>0.22999999999999998</v>
      </c>
      <c r="G14">
        <v>0.5</v>
      </c>
      <c r="H14">
        <f>Table3[[#This Row],[connection_time_avg]]+0.675*Table3[[#This Row],[connection_time_stddev]]</f>
        <v>0.77</v>
      </c>
      <c r="I14">
        <v>3.6</v>
      </c>
      <c r="J14">
        <v>0.4</v>
      </c>
    </row>
    <row r="15" spans="3:10" x14ac:dyDescent="0.55000000000000004">
      <c r="C15" t="s">
        <v>62</v>
      </c>
      <c r="D15">
        <v>0.4</v>
      </c>
      <c r="E15">
        <v>0.3</v>
      </c>
      <c r="F15">
        <f>Table3[[#This Row],[connection_time_avg]]-0.675*Table3[[#This Row],[connection_time_stddev]]</f>
        <v>0.33250000000000002</v>
      </c>
      <c r="G15">
        <v>0.5</v>
      </c>
      <c r="H15">
        <f>Table3[[#This Row],[connection_time_avg]]+0.675*Table3[[#This Row],[connection_time_stddev]]</f>
        <v>0.46750000000000003</v>
      </c>
      <c r="I15">
        <v>0.7</v>
      </c>
      <c r="J15">
        <v>0.1</v>
      </c>
    </row>
    <row r="16" spans="3:10" x14ac:dyDescent="0.55000000000000004">
      <c r="C16" t="s">
        <v>63</v>
      </c>
      <c r="D16">
        <v>0.4</v>
      </c>
      <c r="E16">
        <v>0.3</v>
      </c>
      <c r="F16">
        <f>Table3[[#This Row],[connection_time_avg]]-0.675*Table3[[#This Row],[connection_time_stddev]]</f>
        <v>0.33250000000000002</v>
      </c>
      <c r="G16">
        <v>0.5</v>
      </c>
      <c r="H16">
        <f>Table3[[#This Row],[connection_time_avg]]+0.675*Table3[[#This Row],[connection_time_stddev]]</f>
        <v>0.46750000000000003</v>
      </c>
      <c r="I16">
        <v>0.5</v>
      </c>
      <c r="J16">
        <v>0.1</v>
      </c>
    </row>
    <row r="17" spans="3:15" x14ac:dyDescent="0.55000000000000004">
      <c r="C17" t="s">
        <v>64</v>
      </c>
      <c r="D17">
        <v>0.3</v>
      </c>
      <c r="E17">
        <v>0.3</v>
      </c>
      <c r="F17">
        <f>Table3[[#This Row],[connection_time_avg]]-0.675*Table3[[#This Row],[connection_time_stddev]]</f>
        <v>0.23249999999999998</v>
      </c>
      <c r="G17">
        <v>0.5</v>
      </c>
      <c r="H17">
        <f>Table3[[#This Row],[connection_time_avg]]+0.675*Table3[[#This Row],[connection_time_stddev]]</f>
        <v>0.36749999999999999</v>
      </c>
      <c r="I17">
        <v>1.7</v>
      </c>
      <c r="J17">
        <v>0.1</v>
      </c>
    </row>
    <row r="18" spans="3:15" x14ac:dyDescent="0.55000000000000004">
      <c r="C18" t="s">
        <v>65</v>
      </c>
      <c r="D18">
        <v>99.4</v>
      </c>
      <c r="E18">
        <v>86.9</v>
      </c>
      <c r="F18">
        <f>Table3[[#This Row],[connection_time_avg]]-0.675*Table3[[#This Row],[connection_time_stddev]]</f>
        <v>93.190000000000012</v>
      </c>
      <c r="G18">
        <v>97.5</v>
      </c>
      <c r="H18">
        <f>Table3[[#This Row],[connection_time_avg]]+0.675*Table3[[#This Row],[connection_time_stddev]]</f>
        <v>105.61</v>
      </c>
      <c r="I18">
        <v>123.7</v>
      </c>
      <c r="J18">
        <v>9.1999999999999993</v>
      </c>
    </row>
    <row r="19" spans="3:15" x14ac:dyDescent="0.55000000000000004">
      <c r="C19" t="s">
        <v>66</v>
      </c>
      <c r="D19">
        <v>106.4</v>
      </c>
      <c r="E19">
        <v>91.5</v>
      </c>
      <c r="F19">
        <f>Table3[[#This Row],[connection_time_avg]]-0.675*Table3[[#This Row],[connection_time_stddev]]</f>
        <v>98.435000000000002</v>
      </c>
      <c r="G19">
        <v>104.5</v>
      </c>
      <c r="H19">
        <f>Table3[[#This Row],[connection_time_avg]]+0.675*Table3[[#This Row],[connection_time_stddev]]</f>
        <v>114.36500000000001</v>
      </c>
      <c r="I19">
        <v>178.7</v>
      </c>
      <c r="J19">
        <v>11.8</v>
      </c>
    </row>
    <row r="22" spans="3:15" ht="14.7" thickBot="1" x14ac:dyDescent="0.6">
      <c r="C22" t="s">
        <v>50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J22" s="1" t="s">
        <v>50</v>
      </c>
      <c r="K22" s="2" t="s">
        <v>10</v>
      </c>
      <c r="L22" s="2" t="s">
        <v>11</v>
      </c>
      <c r="M22" s="2" t="s">
        <v>12</v>
      </c>
      <c r="N22" s="2" t="s">
        <v>13</v>
      </c>
      <c r="O22" s="3" t="s">
        <v>14</v>
      </c>
    </row>
    <row r="23" spans="3:15" ht="14.7" thickTop="1" x14ac:dyDescent="0.55000000000000004">
      <c r="C23" t="s">
        <v>59</v>
      </c>
      <c r="D23">
        <v>0.3</v>
      </c>
      <c r="E23">
        <v>0.4</v>
      </c>
      <c r="F23">
        <v>0.8</v>
      </c>
      <c r="G23">
        <v>0.5</v>
      </c>
      <c r="H23">
        <v>0.1</v>
      </c>
      <c r="J23" s="4" t="s">
        <v>51</v>
      </c>
      <c r="K23" s="5">
        <v>0.2</v>
      </c>
      <c r="L23" s="5">
        <v>0.2</v>
      </c>
      <c r="M23" s="5">
        <v>0.6</v>
      </c>
      <c r="N23" s="5">
        <v>0.5</v>
      </c>
      <c r="O23" s="6">
        <v>0.1</v>
      </c>
    </row>
    <row r="24" spans="3:15" x14ac:dyDescent="0.55000000000000004">
      <c r="C24" t="s">
        <v>60</v>
      </c>
      <c r="D24">
        <v>0.3</v>
      </c>
      <c r="E24">
        <v>0.3</v>
      </c>
      <c r="F24">
        <v>0.5</v>
      </c>
      <c r="G24">
        <v>0.5</v>
      </c>
      <c r="H24">
        <v>0.1</v>
      </c>
      <c r="J24" s="7" t="s">
        <v>52</v>
      </c>
      <c r="K24" s="8">
        <v>0.2</v>
      </c>
      <c r="L24" s="8">
        <v>0.2</v>
      </c>
      <c r="M24" s="8">
        <v>0.4</v>
      </c>
      <c r="N24" s="8">
        <v>0.5</v>
      </c>
      <c r="O24" s="9">
        <v>0.1</v>
      </c>
    </row>
    <row r="25" spans="3:15" x14ac:dyDescent="0.55000000000000004">
      <c r="C25" t="s">
        <v>61</v>
      </c>
      <c r="D25">
        <v>0.3</v>
      </c>
      <c r="E25">
        <v>0.5</v>
      </c>
      <c r="F25">
        <v>3.6</v>
      </c>
      <c r="G25">
        <v>0.5</v>
      </c>
      <c r="H25">
        <v>0.4</v>
      </c>
      <c r="J25" s="4" t="s">
        <v>53</v>
      </c>
      <c r="K25" s="5">
        <v>0.2</v>
      </c>
      <c r="L25" s="5">
        <v>0.2</v>
      </c>
      <c r="M25" s="5">
        <v>0.6</v>
      </c>
      <c r="N25" s="5">
        <v>0.5</v>
      </c>
      <c r="O25" s="6">
        <v>0.1</v>
      </c>
    </row>
    <row r="26" spans="3:15" x14ac:dyDescent="0.55000000000000004">
      <c r="C26" t="s">
        <v>62</v>
      </c>
      <c r="D26">
        <v>0.3</v>
      </c>
      <c r="E26">
        <v>0.4</v>
      </c>
      <c r="F26">
        <v>0.7</v>
      </c>
      <c r="G26">
        <v>0.5</v>
      </c>
      <c r="H26">
        <v>0.1</v>
      </c>
      <c r="J26" s="7" t="s">
        <v>54</v>
      </c>
      <c r="K26" s="8">
        <v>0.2</v>
      </c>
      <c r="L26" s="8">
        <v>0.2</v>
      </c>
      <c r="M26" s="8">
        <v>0.4</v>
      </c>
      <c r="N26" s="8">
        <v>0.5</v>
      </c>
      <c r="O26" s="9">
        <v>0.1</v>
      </c>
    </row>
    <row r="27" spans="3:15" x14ac:dyDescent="0.55000000000000004">
      <c r="C27" t="s">
        <v>63</v>
      </c>
      <c r="D27">
        <v>0.3</v>
      </c>
      <c r="E27">
        <v>0.4</v>
      </c>
      <c r="F27">
        <v>0.5</v>
      </c>
      <c r="G27">
        <v>0.5</v>
      </c>
      <c r="H27">
        <v>0.1</v>
      </c>
      <c r="J27" s="4" t="s">
        <v>55</v>
      </c>
      <c r="K27" s="5">
        <v>0.2</v>
      </c>
      <c r="L27" s="5">
        <v>0.2</v>
      </c>
      <c r="M27" s="5">
        <v>0.3</v>
      </c>
      <c r="N27" s="5">
        <v>0.5</v>
      </c>
      <c r="O27" s="6">
        <v>0.1</v>
      </c>
    </row>
    <row r="28" spans="3:15" x14ac:dyDescent="0.55000000000000004">
      <c r="C28" t="s">
        <v>64</v>
      </c>
      <c r="D28">
        <v>0.3</v>
      </c>
      <c r="E28">
        <v>0.3</v>
      </c>
      <c r="F28">
        <v>1.7</v>
      </c>
      <c r="G28">
        <v>0.5</v>
      </c>
      <c r="H28">
        <v>0.1</v>
      </c>
      <c r="J28" s="7" t="s">
        <v>56</v>
      </c>
      <c r="K28" s="8">
        <v>0.2</v>
      </c>
      <c r="L28" s="8">
        <v>0.2</v>
      </c>
      <c r="M28" s="8">
        <v>0.3</v>
      </c>
      <c r="N28" s="8">
        <v>0.5</v>
      </c>
      <c r="O28" s="9">
        <v>0.1</v>
      </c>
    </row>
    <row r="29" spans="3:15" x14ac:dyDescent="0.55000000000000004">
      <c r="C29" t="s">
        <v>65</v>
      </c>
      <c r="D29">
        <v>86.9</v>
      </c>
      <c r="E29">
        <v>99.4</v>
      </c>
      <c r="F29">
        <v>123.7</v>
      </c>
      <c r="G29">
        <v>97.5</v>
      </c>
      <c r="H29">
        <v>9.1999999999999993</v>
      </c>
      <c r="J29" s="4" t="s">
        <v>57</v>
      </c>
      <c r="K29" s="5">
        <v>69</v>
      </c>
      <c r="L29" s="5">
        <v>76</v>
      </c>
      <c r="M29" s="5">
        <v>86.6</v>
      </c>
      <c r="N29" s="5">
        <v>75.5</v>
      </c>
      <c r="O29" s="6">
        <v>3.9</v>
      </c>
    </row>
    <row r="30" spans="3:15" x14ac:dyDescent="0.55000000000000004">
      <c r="C30" t="s">
        <v>66</v>
      </c>
      <c r="D30">
        <v>91.5</v>
      </c>
      <c r="E30">
        <v>106.4</v>
      </c>
      <c r="F30">
        <v>178.7</v>
      </c>
      <c r="G30">
        <v>104.5</v>
      </c>
      <c r="H30">
        <v>11.8</v>
      </c>
      <c r="J30" s="7" t="s">
        <v>58</v>
      </c>
      <c r="K30" s="8">
        <v>68.8</v>
      </c>
      <c r="L30" s="8">
        <v>78.7</v>
      </c>
      <c r="M30" s="8">
        <v>100.7</v>
      </c>
      <c r="N30" s="8">
        <v>77.5</v>
      </c>
      <c r="O30" s="9">
        <v>4.5999999999999996</v>
      </c>
    </row>
  </sheetData>
  <phoneticPr fontId="2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5DC0-7810-456E-AA10-81ADB359FEF2}">
  <dimension ref="A1:H9"/>
  <sheetViews>
    <sheetView tabSelected="1" workbookViewId="0">
      <selection activeCell="H9" sqref="A2:H9"/>
    </sheetView>
  </sheetViews>
  <sheetFormatPr defaultRowHeight="14.4" x14ac:dyDescent="0.55000000000000004"/>
  <cols>
    <col min="1" max="1" width="18.3671875" customWidth="1"/>
    <col min="2" max="2" width="17.7890625" bestFit="1" customWidth="1"/>
    <col min="3" max="3" width="8.62890625" bestFit="1" customWidth="1"/>
    <col min="4" max="4" width="7.83984375" bestFit="1" customWidth="1"/>
    <col min="5" max="5" width="10.578125" bestFit="1" customWidth="1"/>
    <col min="6" max="6" width="7.83984375" bestFit="1" customWidth="1"/>
    <col min="7" max="7" width="9" bestFit="1" customWidth="1"/>
    <col min="8" max="8" width="20.26171875" bestFit="1" customWidth="1"/>
  </cols>
  <sheetData>
    <row r="1" spans="1:8" x14ac:dyDescent="0.55000000000000004">
      <c r="A1" t="s">
        <v>50</v>
      </c>
      <c r="B1" t="s">
        <v>11</v>
      </c>
      <c r="C1" t="s">
        <v>67</v>
      </c>
      <c r="D1" t="s">
        <v>70</v>
      </c>
      <c r="E1" t="s">
        <v>68</v>
      </c>
      <c r="F1" t="s">
        <v>71</v>
      </c>
      <c r="G1" t="s">
        <v>69</v>
      </c>
      <c r="H1" t="s">
        <v>14</v>
      </c>
    </row>
    <row r="2" spans="1:8" x14ac:dyDescent="0.55000000000000004">
      <c r="A2" t="s">
        <v>51</v>
      </c>
      <c r="B2">
        <v>0.2</v>
      </c>
      <c r="C2">
        <v>0.2</v>
      </c>
      <c r="D2">
        <v>0.13250000000000001</v>
      </c>
      <c r="E2">
        <v>0.5</v>
      </c>
      <c r="F2">
        <v>0.26750000000000002</v>
      </c>
      <c r="G2">
        <v>0.6</v>
      </c>
      <c r="H2">
        <v>0.1</v>
      </c>
    </row>
    <row r="3" spans="1:8" x14ac:dyDescent="0.55000000000000004">
      <c r="A3" t="s">
        <v>52</v>
      </c>
      <c r="B3">
        <v>0.2</v>
      </c>
      <c r="C3">
        <v>0.2</v>
      </c>
      <c r="D3">
        <v>0.13250000000000001</v>
      </c>
      <c r="E3">
        <v>0.5</v>
      </c>
      <c r="F3">
        <v>0.26750000000000002</v>
      </c>
      <c r="G3">
        <v>0.4</v>
      </c>
      <c r="H3">
        <v>0.1</v>
      </c>
    </row>
    <row r="4" spans="1:8" x14ac:dyDescent="0.55000000000000004">
      <c r="A4" t="s">
        <v>53</v>
      </c>
      <c r="B4">
        <v>0.2</v>
      </c>
      <c r="C4">
        <v>0.2</v>
      </c>
      <c r="D4">
        <v>0.13250000000000001</v>
      </c>
      <c r="E4">
        <v>0.5</v>
      </c>
      <c r="F4">
        <v>0.26750000000000002</v>
      </c>
      <c r="G4">
        <v>0.6</v>
      </c>
      <c r="H4">
        <v>0.1</v>
      </c>
    </row>
    <row r="5" spans="1:8" x14ac:dyDescent="0.55000000000000004">
      <c r="A5" t="s">
        <v>54</v>
      </c>
      <c r="B5">
        <v>0.2</v>
      </c>
      <c r="C5">
        <v>0.2</v>
      </c>
      <c r="D5">
        <v>0.13250000000000001</v>
      </c>
      <c r="E5">
        <v>0.5</v>
      </c>
      <c r="F5">
        <v>0.26750000000000002</v>
      </c>
      <c r="G5">
        <v>0.4</v>
      </c>
      <c r="H5">
        <v>0.1</v>
      </c>
    </row>
    <row r="6" spans="1:8" x14ac:dyDescent="0.55000000000000004">
      <c r="A6" t="s">
        <v>55</v>
      </c>
      <c r="B6">
        <v>0.2</v>
      </c>
      <c r="C6">
        <v>0.2</v>
      </c>
      <c r="D6">
        <v>0.13250000000000001</v>
      </c>
      <c r="E6">
        <v>0.5</v>
      </c>
      <c r="F6">
        <v>0.26750000000000002</v>
      </c>
      <c r="G6">
        <v>0.3</v>
      </c>
      <c r="H6">
        <v>0.1</v>
      </c>
    </row>
    <row r="7" spans="1:8" x14ac:dyDescent="0.55000000000000004">
      <c r="A7" t="s">
        <v>56</v>
      </c>
      <c r="B7">
        <v>0.2</v>
      </c>
      <c r="C7">
        <v>0.2</v>
      </c>
      <c r="D7">
        <v>0.13250000000000001</v>
      </c>
      <c r="E7">
        <v>0.5</v>
      </c>
      <c r="F7">
        <v>0.26750000000000002</v>
      </c>
      <c r="G7">
        <v>0.3</v>
      </c>
      <c r="H7">
        <v>0.1</v>
      </c>
    </row>
    <row r="8" spans="1:8" x14ac:dyDescent="0.55000000000000004">
      <c r="A8" t="s">
        <v>57</v>
      </c>
      <c r="B8">
        <v>76</v>
      </c>
      <c r="C8">
        <v>69</v>
      </c>
      <c r="D8">
        <v>75.932500000000005</v>
      </c>
      <c r="E8">
        <v>75.5</v>
      </c>
      <c r="F8">
        <v>76.067499999999995</v>
      </c>
      <c r="G8">
        <v>86.6</v>
      </c>
      <c r="H8">
        <v>0.1</v>
      </c>
    </row>
    <row r="9" spans="1:8" x14ac:dyDescent="0.55000000000000004">
      <c r="A9" t="s">
        <v>58</v>
      </c>
      <c r="B9">
        <v>78.7</v>
      </c>
      <c r="C9">
        <v>68.8</v>
      </c>
      <c r="D9">
        <v>76.067499999999995</v>
      </c>
      <c r="E9">
        <v>77.5</v>
      </c>
      <c r="F9">
        <v>81.33250000000001</v>
      </c>
      <c r="G9">
        <v>100.7</v>
      </c>
      <c r="H9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C323-201B-4BF0-BDB3-48CEB745F5B6}">
  <dimension ref="A1:H9"/>
  <sheetViews>
    <sheetView workbookViewId="0">
      <selection activeCell="H9" sqref="A2:H9"/>
    </sheetView>
  </sheetViews>
  <sheetFormatPr defaultRowHeight="14.4" x14ac:dyDescent="0.55000000000000004"/>
  <cols>
    <col min="1" max="1" width="18.26171875" customWidth="1"/>
    <col min="2" max="2" width="17.7890625" bestFit="1" customWidth="1"/>
    <col min="3" max="3" width="8.62890625" bestFit="1" customWidth="1"/>
    <col min="4" max="4" width="7.83984375" bestFit="1" customWidth="1"/>
    <col min="5" max="5" width="10.578125" bestFit="1" customWidth="1"/>
    <col min="6" max="6" width="7.83984375" bestFit="1" customWidth="1"/>
    <col min="7" max="7" width="9" bestFit="1" customWidth="1"/>
    <col min="8" max="8" width="20.26171875" bestFit="1" customWidth="1"/>
  </cols>
  <sheetData>
    <row r="1" spans="1:8" x14ac:dyDescent="0.55000000000000004">
      <c r="A1" t="s">
        <v>50</v>
      </c>
      <c r="B1" t="s">
        <v>11</v>
      </c>
      <c r="C1" t="s">
        <v>67</v>
      </c>
      <c r="D1" t="s">
        <v>70</v>
      </c>
      <c r="E1" t="s">
        <v>68</v>
      </c>
      <c r="F1" t="s">
        <v>71</v>
      </c>
      <c r="G1" t="s">
        <v>69</v>
      </c>
      <c r="H1" t="s">
        <v>14</v>
      </c>
    </row>
    <row r="2" spans="1:8" x14ac:dyDescent="0.55000000000000004">
      <c r="A2" t="s">
        <v>59</v>
      </c>
      <c r="B2">
        <v>0.4</v>
      </c>
      <c r="C2">
        <v>0.3</v>
      </c>
      <c r="D2">
        <v>0.33250000000000002</v>
      </c>
      <c r="E2">
        <v>0.5</v>
      </c>
      <c r="F2">
        <v>0.46750000000000003</v>
      </c>
      <c r="G2">
        <v>0.8</v>
      </c>
      <c r="H2">
        <v>0.1</v>
      </c>
    </row>
    <row r="3" spans="1:8" x14ac:dyDescent="0.55000000000000004">
      <c r="A3" t="s">
        <v>60</v>
      </c>
      <c r="B3">
        <v>0.3</v>
      </c>
      <c r="C3">
        <v>0.3</v>
      </c>
      <c r="D3">
        <v>0.23249999999999998</v>
      </c>
      <c r="E3">
        <v>0.5</v>
      </c>
      <c r="F3">
        <v>0.36749999999999999</v>
      </c>
      <c r="G3">
        <v>0.5</v>
      </c>
      <c r="H3">
        <v>0.1</v>
      </c>
    </row>
    <row r="4" spans="1:8" x14ac:dyDescent="0.55000000000000004">
      <c r="A4" t="s">
        <v>61</v>
      </c>
      <c r="B4">
        <v>0.5</v>
      </c>
      <c r="C4">
        <v>0.3</v>
      </c>
      <c r="D4">
        <v>0.22999999999999998</v>
      </c>
      <c r="E4">
        <v>0.5</v>
      </c>
      <c r="F4">
        <v>0.77</v>
      </c>
      <c r="G4">
        <v>3.6</v>
      </c>
      <c r="H4">
        <v>0.4</v>
      </c>
    </row>
    <row r="5" spans="1:8" x14ac:dyDescent="0.55000000000000004">
      <c r="A5" t="s">
        <v>62</v>
      </c>
      <c r="B5">
        <v>0.4</v>
      </c>
      <c r="C5">
        <v>0.3</v>
      </c>
      <c r="D5">
        <v>0.33250000000000002</v>
      </c>
      <c r="E5">
        <v>0.5</v>
      </c>
      <c r="F5">
        <v>0.46750000000000003</v>
      </c>
      <c r="G5">
        <v>0.7</v>
      </c>
      <c r="H5">
        <v>0.1</v>
      </c>
    </row>
    <row r="6" spans="1:8" x14ac:dyDescent="0.55000000000000004">
      <c r="A6" t="s">
        <v>63</v>
      </c>
      <c r="B6">
        <v>0.4</v>
      </c>
      <c r="C6">
        <v>0.3</v>
      </c>
      <c r="D6">
        <v>0.33250000000000002</v>
      </c>
      <c r="E6">
        <v>0.5</v>
      </c>
      <c r="F6">
        <v>0.46750000000000003</v>
      </c>
      <c r="G6">
        <v>0.5</v>
      </c>
      <c r="H6">
        <v>0.1</v>
      </c>
    </row>
    <row r="7" spans="1:8" x14ac:dyDescent="0.55000000000000004">
      <c r="A7" t="s">
        <v>64</v>
      </c>
      <c r="B7">
        <v>0.3</v>
      </c>
      <c r="C7">
        <v>0.3</v>
      </c>
      <c r="D7">
        <v>0.23249999999999998</v>
      </c>
      <c r="E7">
        <v>0.5</v>
      </c>
      <c r="F7">
        <v>0.36749999999999999</v>
      </c>
      <c r="G7">
        <v>1.7</v>
      </c>
      <c r="H7">
        <v>0.1</v>
      </c>
    </row>
    <row r="8" spans="1:8" x14ac:dyDescent="0.55000000000000004">
      <c r="A8" t="s">
        <v>65</v>
      </c>
      <c r="B8">
        <v>99.4</v>
      </c>
      <c r="C8">
        <v>86.9</v>
      </c>
      <c r="D8">
        <v>93.190000000000012</v>
      </c>
      <c r="E8">
        <v>97.5</v>
      </c>
      <c r="F8">
        <v>105.61</v>
      </c>
      <c r="G8">
        <v>123.7</v>
      </c>
      <c r="H8">
        <v>9.1999999999999993</v>
      </c>
    </row>
    <row r="9" spans="1:8" x14ac:dyDescent="0.55000000000000004">
      <c r="A9" t="s">
        <v>66</v>
      </c>
      <c r="B9">
        <v>106.4</v>
      </c>
      <c r="C9">
        <v>91.5</v>
      </c>
      <c r="D9">
        <v>98.435000000000002</v>
      </c>
      <c r="E9">
        <v>104.5</v>
      </c>
      <c r="F9">
        <v>114.36500000000001</v>
      </c>
      <c r="G9">
        <v>178.7</v>
      </c>
      <c r="H9">
        <v>11.8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6975-69DB-4161-8513-3E80A0B05D4B}">
  <dimension ref="A1:AG13"/>
  <sheetViews>
    <sheetView zoomScale="85" zoomScaleNormal="85" workbookViewId="0">
      <selection activeCell="A13" sqref="A2:A13"/>
    </sheetView>
  </sheetViews>
  <sheetFormatPr defaultRowHeight="14.4" x14ac:dyDescent="0.55000000000000004"/>
  <cols>
    <col min="1" max="1" width="15.578125" bestFit="1" customWidth="1"/>
    <col min="2" max="2" width="54.3125" bestFit="1" customWidth="1"/>
    <col min="3" max="3" width="6.5234375" bestFit="1" customWidth="1"/>
    <col min="4" max="4" width="17.68359375" bestFit="1" customWidth="1"/>
    <col min="5" max="5" width="14.9453125" bestFit="1" customWidth="1"/>
    <col min="6" max="6" width="17.83984375" bestFit="1" customWidth="1"/>
    <col min="7" max="7" width="15.05078125" bestFit="1" customWidth="1"/>
    <col min="8" max="8" width="13.47265625" bestFit="1" customWidth="1"/>
    <col min="9" max="9" width="11.62890625" bestFit="1" customWidth="1"/>
    <col min="10" max="10" width="16.5234375" bestFit="1" customWidth="1"/>
    <col min="11" max="11" width="21.26171875" bestFit="1" customWidth="1"/>
    <col min="12" max="12" width="20.83984375" bestFit="1" customWidth="1"/>
    <col min="13" max="13" width="21.5234375" bestFit="1" customWidth="1"/>
    <col min="14" max="14" width="24.41796875" bestFit="1" customWidth="1"/>
    <col min="15" max="15" width="23.734375" bestFit="1" customWidth="1"/>
    <col min="16" max="16" width="13.62890625" bestFit="1" customWidth="1"/>
    <col min="17" max="17" width="13.47265625" bestFit="1" customWidth="1"/>
    <col min="18" max="18" width="15.734375" bestFit="1" customWidth="1"/>
    <col min="19" max="19" width="15.3125" bestFit="1" customWidth="1"/>
    <col min="20" max="20" width="16" bestFit="1" customWidth="1"/>
    <col min="21" max="21" width="18.20703125" bestFit="1" customWidth="1"/>
    <col min="22" max="22" width="12.05078125" bestFit="1" customWidth="1"/>
    <col min="23" max="23" width="18.3671875" bestFit="1" customWidth="1"/>
    <col min="24" max="24" width="18.89453125" bestFit="1" customWidth="1"/>
    <col min="25" max="25" width="16.26171875" bestFit="1" customWidth="1"/>
    <col min="26" max="26" width="15.3125" bestFit="1" customWidth="1"/>
    <col min="27" max="27" width="17.578125" bestFit="1" customWidth="1"/>
    <col min="28" max="28" width="8.3671875" bestFit="1" customWidth="1"/>
    <col min="29" max="29" width="12.68359375" bestFit="1" customWidth="1"/>
    <col min="30" max="30" width="18.47265625" bestFit="1" customWidth="1"/>
    <col min="31" max="31" width="19.15625" bestFit="1" customWidth="1"/>
    <col min="32" max="32" width="19.41796875" bestFit="1" customWidth="1"/>
    <col min="33" max="33" width="17.15625" bestFit="1" customWidth="1"/>
  </cols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33</v>
      </c>
      <c r="B2" t="s">
        <v>34</v>
      </c>
      <c r="C2">
        <v>80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2359</v>
      </c>
      <c r="K2">
        <v>0.4</v>
      </c>
      <c r="L2">
        <v>0.4</v>
      </c>
      <c r="M2">
        <v>0.4</v>
      </c>
      <c r="N2">
        <v>0.5</v>
      </c>
      <c r="O2">
        <v>0</v>
      </c>
      <c r="P2">
        <v>2359</v>
      </c>
      <c r="Q2">
        <v>77</v>
      </c>
      <c r="R2">
        <v>0</v>
      </c>
      <c r="S2">
        <v>0</v>
      </c>
      <c r="T2">
        <v>0</v>
      </c>
      <c r="U2">
        <v>0</v>
      </c>
      <c r="V2">
        <v>0.3</v>
      </c>
      <c r="W2">
        <v>182</v>
      </c>
      <c r="X2">
        <v>301</v>
      </c>
      <c r="Y2">
        <v>483</v>
      </c>
      <c r="Z2">
        <v>0</v>
      </c>
      <c r="AA2">
        <v>0</v>
      </c>
      <c r="AB2">
        <v>1290.0999999999999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55000000000000004">
      <c r="A3" t="s">
        <v>33</v>
      </c>
      <c r="B3" t="s">
        <v>34</v>
      </c>
      <c r="C3">
        <v>80</v>
      </c>
      <c r="D3">
        <v>100</v>
      </c>
      <c r="E3">
        <v>1000</v>
      </c>
      <c r="F3">
        <v>100</v>
      </c>
      <c r="G3">
        <v>200</v>
      </c>
      <c r="H3">
        <v>100</v>
      </c>
      <c r="I3">
        <v>2.3E-2</v>
      </c>
      <c r="J3">
        <v>4293.5</v>
      </c>
      <c r="K3">
        <v>0.2</v>
      </c>
      <c r="L3">
        <v>0.2</v>
      </c>
      <c r="M3">
        <v>0.6</v>
      </c>
      <c r="N3">
        <v>0.5</v>
      </c>
      <c r="O3">
        <v>0.1</v>
      </c>
      <c r="P3">
        <v>8587.1</v>
      </c>
      <c r="Q3">
        <v>77</v>
      </c>
      <c r="R3">
        <v>0</v>
      </c>
      <c r="S3">
        <v>0</v>
      </c>
      <c r="T3">
        <v>0</v>
      </c>
      <c r="U3">
        <v>0</v>
      </c>
      <c r="V3">
        <v>0.1</v>
      </c>
      <c r="W3">
        <v>182</v>
      </c>
      <c r="X3">
        <v>301</v>
      </c>
      <c r="Y3">
        <v>483</v>
      </c>
      <c r="Z3">
        <v>0</v>
      </c>
      <c r="AA3">
        <v>0.02</v>
      </c>
      <c r="AB3">
        <v>2670.9</v>
      </c>
      <c r="AC3">
        <v>100</v>
      </c>
      <c r="AD3">
        <v>0</v>
      </c>
      <c r="AE3">
        <v>0</v>
      </c>
      <c r="AF3">
        <v>0</v>
      </c>
      <c r="AG3">
        <v>100</v>
      </c>
    </row>
    <row r="4" spans="1:33" x14ac:dyDescent="0.55000000000000004">
      <c r="A4" t="s">
        <v>33</v>
      </c>
      <c r="B4" t="s">
        <v>34</v>
      </c>
      <c r="C4">
        <v>80</v>
      </c>
      <c r="D4">
        <v>200</v>
      </c>
      <c r="E4">
        <v>2000</v>
      </c>
      <c r="F4">
        <v>200</v>
      </c>
      <c r="G4">
        <v>400</v>
      </c>
      <c r="H4">
        <v>200</v>
      </c>
      <c r="I4">
        <v>4.2000000000000003E-2</v>
      </c>
      <c r="J4">
        <v>4800.3</v>
      </c>
      <c r="K4">
        <v>0.2</v>
      </c>
      <c r="L4">
        <v>0.2</v>
      </c>
      <c r="M4">
        <v>0.4</v>
      </c>
      <c r="N4">
        <v>0.5</v>
      </c>
      <c r="O4">
        <v>0</v>
      </c>
      <c r="P4">
        <v>9600.6</v>
      </c>
      <c r="Q4">
        <v>77</v>
      </c>
      <c r="R4">
        <v>0</v>
      </c>
      <c r="S4">
        <v>0</v>
      </c>
      <c r="T4">
        <v>0</v>
      </c>
      <c r="U4">
        <v>0</v>
      </c>
      <c r="V4">
        <v>0.1</v>
      </c>
      <c r="W4">
        <v>182</v>
      </c>
      <c r="X4">
        <v>301</v>
      </c>
      <c r="Y4">
        <v>483</v>
      </c>
      <c r="Z4">
        <v>0.01</v>
      </c>
      <c r="AA4">
        <v>0.02</v>
      </c>
      <c r="AB4">
        <v>2986.1</v>
      </c>
      <c r="AC4">
        <v>200</v>
      </c>
      <c r="AD4">
        <v>0</v>
      </c>
      <c r="AE4">
        <v>0</v>
      </c>
      <c r="AF4">
        <v>0</v>
      </c>
      <c r="AG4">
        <v>200</v>
      </c>
    </row>
    <row r="5" spans="1:33" x14ac:dyDescent="0.55000000000000004">
      <c r="A5" t="s">
        <v>42</v>
      </c>
      <c r="B5" t="s">
        <v>34</v>
      </c>
      <c r="C5">
        <v>80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3919.9</v>
      </c>
      <c r="K5">
        <v>0.3</v>
      </c>
      <c r="L5">
        <v>0.3</v>
      </c>
      <c r="M5">
        <v>0.3</v>
      </c>
      <c r="N5">
        <v>0.5</v>
      </c>
      <c r="O5">
        <v>0</v>
      </c>
      <c r="P5">
        <v>3919.9</v>
      </c>
      <c r="Q5">
        <v>71</v>
      </c>
      <c r="R5">
        <v>0</v>
      </c>
      <c r="S5">
        <v>0</v>
      </c>
      <c r="T5">
        <v>0</v>
      </c>
      <c r="U5">
        <v>0</v>
      </c>
      <c r="V5">
        <v>0.2</v>
      </c>
      <c r="W5">
        <v>182</v>
      </c>
      <c r="X5">
        <v>301</v>
      </c>
      <c r="Y5">
        <v>483</v>
      </c>
      <c r="Z5">
        <v>0</v>
      </c>
      <c r="AA5">
        <v>0</v>
      </c>
      <c r="AB5">
        <v>2120.6999999999998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55000000000000004">
      <c r="A6" t="s">
        <v>42</v>
      </c>
      <c r="B6" t="s">
        <v>34</v>
      </c>
      <c r="C6">
        <v>80</v>
      </c>
      <c r="D6">
        <v>100</v>
      </c>
      <c r="E6">
        <v>1000</v>
      </c>
      <c r="F6">
        <v>100</v>
      </c>
      <c r="G6">
        <v>200</v>
      </c>
      <c r="H6">
        <v>100</v>
      </c>
      <c r="I6">
        <v>2.5000000000000001E-2</v>
      </c>
      <c r="J6">
        <v>4022.9</v>
      </c>
      <c r="K6">
        <v>0.2</v>
      </c>
      <c r="L6">
        <v>0.2</v>
      </c>
      <c r="M6">
        <v>0.6</v>
      </c>
      <c r="N6">
        <v>0.5</v>
      </c>
      <c r="O6">
        <v>0.1</v>
      </c>
      <c r="P6">
        <v>8045.7</v>
      </c>
      <c r="Q6">
        <v>71</v>
      </c>
      <c r="R6">
        <v>0</v>
      </c>
      <c r="S6">
        <v>0</v>
      </c>
      <c r="T6">
        <v>0</v>
      </c>
      <c r="U6">
        <v>0</v>
      </c>
      <c r="V6">
        <v>0.1</v>
      </c>
      <c r="W6">
        <v>182</v>
      </c>
      <c r="X6">
        <v>301</v>
      </c>
      <c r="Y6">
        <v>483</v>
      </c>
      <c r="Z6">
        <v>0</v>
      </c>
      <c r="AA6">
        <v>0.02</v>
      </c>
      <c r="AB6">
        <v>2455.4</v>
      </c>
      <c r="AC6">
        <v>100</v>
      </c>
      <c r="AD6">
        <v>0</v>
      </c>
      <c r="AE6">
        <v>0</v>
      </c>
      <c r="AF6">
        <v>0</v>
      </c>
      <c r="AG6">
        <v>100</v>
      </c>
    </row>
    <row r="7" spans="1:33" x14ac:dyDescent="0.55000000000000004">
      <c r="A7" t="s">
        <v>42</v>
      </c>
      <c r="B7" t="s">
        <v>34</v>
      </c>
      <c r="C7">
        <v>80</v>
      </c>
      <c r="D7">
        <v>200</v>
      </c>
      <c r="E7">
        <v>2000</v>
      </c>
      <c r="F7">
        <v>200</v>
      </c>
      <c r="G7">
        <v>400</v>
      </c>
      <c r="H7">
        <v>200</v>
      </c>
      <c r="I7">
        <v>0.04</v>
      </c>
      <c r="J7">
        <v>4988.8999999999996</v>
      </c>
      <c r="K7">
        <v>0.2</v>
      </c>
      <c r="L7">
        <v>0.2</v>
      </c>
      <c r="M7">
        <v>0.4</v>
      </c>
      <c r="N7">
        <v>0.5</v>
      </c>
      <c r="O7">
        <v>0</v>
      </c>
      <c r="P7">
        <v>9977.7999999999993</v>
      </c>
      <c r="Q7">
        <v>71</v>
      </c>
      <c r="R7">
        <v>0</v>
      </c>
      <c r="S7">
        <v>0</v>
      </c>
      <c r="T7">
        <v>0</v>
      </c>
      <c r="U7">
        <v>0</v>
      </c>
      <c r="V7">
        <v>0.1</v>
      </c>
      <c r="W7">
        <v>182</v>
      </c>
      <c r="X7">
        <v>301</v>
      </c>
      <c r="Y7">
        <v>483</v>
      </c>
      <c r="Z7">
        <v>0.01</v>
      </c>
      <c r="AA7">
        <v>0.03</v>
      </c>
      <c r="AB7">
        <v>3045</v>
      </c>
      <c r="AC7">
        <v>200</v>
      </c>
      <c r="AD7">
        <v>0</v>
      </c>
      <c r="AE7">
        <v>0</v>
      </c>
      <c r="AF7">
        <v>0</v>
      </c>
      <c r="AG7">
        <v>200</v>
      </c>
    </row>
    <row r="8" spans="1:33" x14ac:dyDescent="0.55000000000000004">
      <c r="A8" t="s">
        <v>43</v>
      </c>
      <c r="B8" t="s">
        <v>34</v>
      </c>
      <c r="C8">
        <v>80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3423.9</v>
      </c>
      <c r="K8">
        <v>0.3</v>
      </c>
      <c r="L8">
        <v>0.3</v>
      </c>
      <c r="M8">
        <v>0.3</v>
      </c>
      <c r="N8">
        <v>0.5</v>
      </c>
      <c r="O8">
        <v>0</v>
      </c>
      <c r="P8">
        <v>3423.9</v>
      </c>
      <c r="Q8">
        <v>77</v>
      </c>
      <c r="R8">
        <v>0</v>
      </c>
      <c r="S8">
        <v>0</v>
      </c>
      <c r="T8">
        <v>0</v>
      </c>
      <c r="U8">
        <v>0</v>
      </c>
      <c r="V8">
        <v>0.2</v>
      </c>
      <c r="W8">
        <v>182</v>
      </c>
      <c r="X8">
        <v>301</v>
      </c>
      <c r="Y8">
        <v>483</v>
      </c>
      <c r="Z8">
        <v>0</v>
      </c>
      <c r="AA8">
        <v>0</v>
      </c>
      <c r="AB8">
        <v>1872.5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55000000000000004">
      <c r="A9" t="s">
        <v>43</v>
      </c>
      <c r="B9" t="s">
        <v>34</v>
      </c>
      <c r="C9">
        <v>80</v>
      </c>
      <c r="D9">
        <v>100</v>
      </c>
      <c r="E9">
        <v>1000</v>
      </c>
      <c r="F9">
        <v>100</v>
      </c>
      <c r="G9">
        <v>200</v>
      </c>
      <c r="H9">
        <v>100</v>
      </c>
      <c r="I9">
        <v>0.02</v>
      </c>
      <c r="J9">
        <v>5122.8999999999996</v>
      </c>
      <c r="K9">
        <v>0.2</v>
      </c>
      <c r="L9">
        <v>0.2</v>
      </c>
      <c r="M9">
        <v>0.3</v>
      </c>
      <c r="N9">
        <v>0.5</v>
      </c>
      <c r="O9">
        <v>0</v>
      </c>
      <c r="P9">
        <v>10245.9</v>
      </c>
      <c r="Q9">
        <v>77</v>
      </c>
      <c r="R9">
        <v>0</v>
      </c>
      <c r="S9">
        <v>0</v>
      </c>
      <c r="T9">
        <v>0</v>
      </c>
      <c r="U9">
        <v>0</v>
      </c>
      <c r="V9">
        <v>0.1</v>
      </c>
      <c r="W9">
        <v>182</v>
      </c>
      <c r="X9">
        <v>301</v>
      </c>
      <c r="Y9">
        <v>483</v>
      </c>
      <c r="Z9">
        <v>0</v>
      </c>
      <c r="AA9">
        <v>0.01</v>
      </c>
      <c r="AB9">
        <v>3186.8</v>
      </c>
      <c r="AC9">
        <v>100</v>
      </c>
      <c r="AD9">
        <v>0</v>
      </c>
      <c r="AE9">
        <v>0</v>
      </c>
      <c r="AF9">
        <v>0</v>
      </c>
      <c r="AG9">
        <v>100</v>
      </c>
    </row>
    <row r="10" spans="1:33" x14ac:dyDescent="0.55000000000000004">
      <c r="A10" t="s">
        <v>43</v>
      </c>
      <c r="B10" t="s">
        <v>34</v>
      </c>
      <c r="C10">
        <v>80</v>
      </c>
      <c r="D10">
        <v>200</v>
      </c>
      <c r="E10">
        <v>2000</v>
      </c>
      <c r="F10">
        <v>200</v>
      </c>
      <c r="G10">
        <v>400</v>
      </c>
      <c r="H10">
        <v>200</v>
      </c>
      <c r="I10">
        <v>0.04</v>
      </c>
      <c r="J10">
        <v>5037.3999999999996</v>
      </c>
      <c r="K10">
        <v>0.2</v>
      </c>
      <c r="L10">
        <v>0.2</v>
      </c>
      <c r="M10">
        <v>0.3</v>
      </c>
      <c r="N10">
        <v>0.5</v>
      </c>
      <c r="O10">
        <v>0</v>
      </c>
      <c r="P10">
        <v>10074.799999999999</v>
      </c>
      <c r="Q10">
        <v>77</v>
      </c>
      <c r="R10">
        <v>0</v>
      </c>
      <c r="S10">
        <v>0</v>
      </c>
      <c r="T10">
        <v>0</v>
      </c>
      <c r="U10">
        <v>0</v>
      </c>
      <c r="V10">
        <v>0.1</v>
      </c>
      <c r="W10">
        <v>182</v>
      </c>
      <c r="X10">
        <v>301</v>
      </c>
      <c r="Y10">
        <v>483</v>
      </c>
      <c r="Z10">
        <v>0.01</v>
      </c>
      <c r="AA10">
        <v>0.03</v>
      </c>
      <c r="AB10">
        <v>3133.6</v>
      </c>
      <c r="AC10">
        <v>200</v>
      </c>
      <c r="AD10">
        <v>0</v>
      </c>
      <c r="AE10">
        <v>0</v>
      </c>
      <c r="AF10">
        <v>0</v>
      </c>
      <c r="AG10">
        <v>200</v>
      </c>
    </row>
    <row r="11" spans="1:33" x14ac:dyDescent="0.55000000000000004">
      <c r="A11" t="s">
        <v>44</v>
      </c>
      <c r="B11" t="s">
        <v>45</v>
      </c>
      <c r="C11">
        <v>80</v>
      </c>
      <c r="D11">
        <v>1</v>
      </c>
      <c r="E11">
        <v>1</v>
      </c>
      <c r="F11">
        <v>1</v>
      </c>
      <c r="G11">
        <v>1</v>
      </c>
      <c r="H11">
        <v>1</v>
      </c>
      <c r="I11">
        <v>7.0000000000000001E-3</v>
      </c>
      <c r="J11">
        <v>136.9</v>
      </c>
      <c r="K11">
        <v>7.3</v>
      </c>
      <c r="L11">
        <v>7.3</v>
      </c>
      <c r="M11">
        <v>7.3</v>
      </c>
      <c r="N11">
        <v>7.5</v>
      </c>
      <c r="O11">
        <v>0</v>
      </c>
      <c r="P11">
        <v>136.9</v>
      </c>
      <c r="Q11">
        <v>134</v>
      </c>
      <c r="R11">
        <v>0</v>
      </c>
      <c r="S11">
        <v>0</v>
      </c>
      <c r="T11">
        <v>0</v>
      </c>
      <c r="U11">
        <v>0</v>
      </c>
      <c r="V11">
        <v>7.2</v>
      </c>
      <c r="W11">
        <v>342</v>
      </c>
      <c r="X11">
        <v>0</v>
      </c>
      <c r="Y11">
        <v>342</v>
      </c>
      <c r="Z11">
        <v>0</v>
      </c>
      <c r="AA11">
        <v>0</v>
      </c>
      <c r="AB11">
        <v>63.6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55000000000000004">
      <c r="A12" t="s">
        <v>44</v>
      </c>
      <c r="B12" t="s">
        <v>45</v>
      </c>
      <c r="C12">
        <v>80</v>
      </c>
      <c r="D12">
        <v>100</v>
      </c>
      <c r="E12">
        <v>1000</v>
      </c>
      <c r="F12">
        <v>100</v>
      </c>
      <c r="G12">
        <v>10200</v>
      </c>
      <c r="H12">
        <v>10100</v>
      </c>
      <c r="I12">
        <v>7.5960000000000001</v>
      </c>
      <c r="J12">
        <v>13.2</v>
      </c>
      <c r="K12">
        <v>69</v>
      </c>
      <c r="L12">
        <v>76</v>
      </c>
      <c r="M12">
        <v>86.6</v>
      </c>
      <c r="N12">
        <v>75.5</v>
      </c>
      <c r="O12">
        <v>3.9</v>
      </c>
      <c r="P12">
        <v>1342.7</v>
      </c>
      <c r="Q12">
        <v>134</v>
      </c>
      <c r="R12">
        <v>1328.8</v>
      </c>
      <c r="S12">
        <v>1328.8</v>
      </c>
      <c r="T12">
        <v>1328.8</v>
      </c>
      <c r="U12">
        <v>0</v>
      </c>
      <c r="V12">
        <v>0.8</v>
      </c>
      <c r="W12">
        <v>342</v>
      </c>
      <c r="X12">
        <v>0</v>
      </c>
      <c r="Y12">
        <v>342</v>
      </c>
      <c r="Z12">
        <v>1.96</v>
      </c>
      <c r="AA12">
        <v>5.6</v>
      </c>
      <c r="AB12">
        <v>620</v>
      </c>
      <c r="AC12">
        <v>100</v>
      </c>
      <c r="AD12">
        <v>0</v>
      </c>
      <c r="AE12">
        <v>0</v>
      </c>
      <c r="AF12">
        <v>0</v>
      </c>
      <c r="AG12">
        <v>100</v>
      </c>
    </row>
    <row r="13" spans="1:33" x14ac:dyDescent="0.55000000000000004">
      <c r="A13" t="s">
        <v>44</v>
      </c>
      <c r="B13" t="s">
        <v>45</v>
      </c>
      <c r="C13">
        <v>80</v>
      </c>
      <c r="D13">
        <v>200</v>
      </c>
      <c r="E13">
        <v>2000</v>
      </c>
      <c r="F13">
        <v>200</v>
      </c>
      <c r="G13">
        <v>20400</v>
      </c>
      <c r="H13">
        <v>20200</v>
      </c>
      <c r="I13">
        <v>15.747999999999999</v>
      </c>
      <c r="J13">
        <v>12.7</v>
      </c>
      <c r="K13">
        <v>68.8</v>
      </c>
      <c r="L13">
        <v>78.7</v>
      </c>
      <c r="M13">
        <v>100.7</v>
      </c>
      <c r="N13">
        <v>77.5</v>
      </c>
      <c r="O13">
        <v>4.5999999999999996</v>
      </c>
      <c r="P13">
        <v>1295.4000000000001</v>
      </c>
      <c r="Q13">
        <v>134</v>
      </c>
      <c r="R13">
        <v>1263.8</v>
      </c>
      <c r="S13">
        <v>1283.0999999999999</v>
      </c>
      <c r="T13">
        <v>1306.0999999999999</v>
      </c>
      <c r="U13">
        <v>21.4</v>
      </c>
      <c r="V13">
        <v>0.8</v>
      </c>
      <c r="W13">
        <v>342</v>
      </c>
      <c r="X13">
        <v>0</v>
      </c>
      <c r="Y13">
        <v>342</v>
      </c>
      <c r="Z13">
        <v>4.08</v>
      </c>
      <c r="AA13">
        <v>11.54</v>
      </c>
      <c r="AB13">
        <v>598.1</v>
      </c>
      <c r="AC13">
        <v>200</v>
      </c>
      <c r="AD13">
        <v>0</v>
      </c>
      <c r="AE13">
        <v>0</v>
      </c>
      <c r="AF13">
        <v>0</v>
      </c>
      <c r="AG13">
        <v>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DCEE-FF30-4079-AABE-7188DC61DC12}">
  <dimension ref="A1:AG13"/>
  <sheetViews>
    <sheetView topLeftCell="B1" zoomScale="85" zoomScaleNormal="85" workbookViewId="0">
      <selection activeCell="K13" sqref="K2:K13"/>
    </sheetView>
  </sheetViews>
  <sheetFormatPr defaultRowHeight="14.4" x14ac:dyDescent="0.55000000000000004"/>
  <cols>
    <col min="1" max="1" width="15.578125" bestFit="1" customWidth="1"/>
    <col min="2" max="2" width="54.3125" bestFit="1" customWidth="1"/>
    <col min="3" max="3" width="6.5234375" bestFit="1" customWidth="1"/>
    <col min="4" max="4" width="17.68359375" bestFit="1" customWidth="1"/>
    <col min="5" max="5" width="14.9453125" bestFit="1" customWidth="1"/>
    <col min="6" max="6" width="17.83984375" bestFit="1" customWidth="1"/>
    <col min="7" max="7" width="15.05078125" bestFit="1" customWidth="1"/>
    <col min="8" max="8" width="13.47265625" bestFit="1" customWidth="1"/>
    <col min="9" max="9" width="11.62890625" bestFit="1" customWidth="1"/>
    <col min="10" max="10" width="16.5234375" bestFit="1" customWidth="1"/>
    <col min="11" max="11" width="21.26171875" bestFit="1" customWidth="1"/>
    <col min="12" max="12" width="20.83984375" bestFit="1" customWidth="1"/>
    <col min="13" max="13" width="21.5234375" bestFit="1" customWidth="1"/>
    <col min="14" max="14" width="24.41796875" bestFit="1" customWidth="1"/>
    <col min="15" max="15" width="23.734375" bestFit="1" customWidth="1"/>
    <col min="16" max="16" width="13.62890625" bestFit="1" customWidth="1"/>
    <col min="17" max="17" width="13.47265625" bestFit="1" customWidth="1"/>
    <col min="18" max="18" width="15.734375" bestFit="1" customWidth="1"/>
    <col min="19" max="19" width="15.3125" bestFit="1" customWidth="1"/>
    <col min="20" max="20" width="16" bestFit="1" customWidth="1"/>
    <col min="21" max="21" width="18.20703125" bestFit="1" customWidth="1"/>
    <col min="22" max="22" width="12.05078125" bestFit="1" customWidth="1"/>
    <col min="23" max="23" width="18.3671875" bestFit="1" customWidth="1"/>
    <col min="24" max="24" width="18.89453125" bestFit="1" customWidth="1"/>
    <col min="25" max="25" width="16.26171875" bestFit="1" customWidth="1"/>
    <col min="26" max="26" width="15.3125" bestFit="1" customWidth="1"/>
    <col min="27" max="27" width="17.578125" bestFit="1" customWidth="1"/>
    <col min="28" max="28" width="8.3671875" bestFit="1" customWidth="1"/>
    <col min="29" max="29" width="12.68359375" bestFit="1" customWidth="1"/>
    <col min="30" max="30" width="18.47265625" bestFit="1" customWidth="1"/>
    <col min="31" max="31" width="19.15625" bestFit="1" customWidth="1"/>
    <col min="32" max="32" width="19.41796875" bestFit="1" customWidth="1"/>
    <col min="33" max="33" width="17.15625" bestFit="1" customWidth="1"/>
  </cols>
  <sheetData>
    <row r="1" spans="1:3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55000000000000004">
      <c r="A2" t="s">
        <v>33</v>
      </c>
      <c r="B2" t="s">
        <v>34</v>
      </c>
      <c r="C2" t="s">
        <v>35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>
        <v>1E-3</v>
      </c>
      <c r="J2">
        <v>1825.2</v>
      </c>
      <c r="K2">
        <v>0.5</v>
      </c>
      <c r="L2">
        <v>0.5</v>
      </c>
      <c r="M2">
        <v>0.5</v>
      </c>
      <c r="N2">
        <v>0.5</v>
      </c>
      <c r="O2">
        <v>0</v>
      </c>
      <c r="P2">
        <v>1825.2</v>
      </c>
      <c r="Q2">
        <v>77</v>
      </c>
      <c r="R2">
        <v>0</v>
      </c>
      <c r="S2">
        <v>0</v>
      </c>
      <c r="T2">
        <v>0</v>
      </c>
      <c r="U2">
        <v>0</v>
      </c>
      <c r="V2">
        <v>0.4</v>
      </c>
      <c r="W2">
        <v>182</v>
      </c>
      <c r="X2">
        <v>301</v>
      </c>
      <c r="Y2">
        <v>483</v>
      </c>
      <c r="Z2">
        <v>0</v>
      </c>
      <c r="AA2">
        <v>0</v>
      </c>
      <c r="AB2">
        <v>998.2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55000000000000004">
      <c r="A3" t="s">
        <v>33</v>
      </c>
      <c r="B3" t="s">
        <v>34</v>
      </c>
      <c r="C3" t="s">
        <v>35</v>
      </c>
      <c r="D3" t="s">
        <v>37</v>
      </c>
      <c r="E3" t="s">
        <v>38</v>
      </c>
      <c r="F3" t="s">
        <v>37</v>
      </c>
      <c r="G3" t="s">
        <v>39</v>
      </c>
      <c r="H3" t="s">
        <v>37</v>
      </c>
      <c r="I3">
        <v>3.9E-2</v>
      </c>
      <c r="J3">
        <v>2534.8000000000002</v>
      </c>
      <c r="K3">
        <v>0.3</v>
      </c>
      <c r="L3">
        <v>0.4</v>
      </c>
      <c r="M3">
        <v>0.8</v>
      </c>
      <c r="N3">
        <v>0.5</v>
      </c>
      <c r="O3">
        <v>0.1</v>
      </c>
      <c r="P3">
        <v>5069.6000000000004</v>
      </c>
      <c r="Q3">
        <v>77</v>
      </c>
      <c r="R3">
        <v>0</v>
      </c>
      <c r="S3">
        <v>0</v>
      </c>
      <c r="T3">
        <v>0</v>
      </c>
      <c r="U3">
        <v>0</v>
      </c>
      <c r="V3">
        <v>0.3</v>
      </c>
      <c r="W3">
        <v>182</v>
      </c>
      <c r="X3">
        <v>301</v>
      </c>
      <c r="Y3">
        <v>483</v>
      </c>
      <c r="Z3">
        <v>0</v>
      </c>
      <c r="AA3">
        <v>0.03</v>
      </c>
      <c r="AB3">
        <v>1576.8</v>
      </c>
      <c r="AC3">
        <v>100</v>
      </c>
      <c r="AD3">
        <v>0</v>
      </c>
      <c r="AE3">
        <v>0</v>
      </c>
      <c r="AF3">
        <v>0</v>
      </c>
      <c r="AG3">
        <v>100</v>
      </c>
    </row>
    <row r="4" spans="1:33" x14ac:dyDescent="0.55000000000000004">
      <c r="A4" t="s">
        <v>33</v>
      </c>
      <c r="B4" t="s">
        <v>34</v>
      </c>
      <c r="C4" t="s">
        <v>35</v>
      </c>
      <c r="D4" t="s">
        <v>39</v>
      </c>
      <c r="E4" t="s">
        <v>40</v>
      </c>
      <c r="F4" t="s">
        <v>39</v>
      </c>
      <c r="G4" t="s">
        <v>41</v>
      </c>
      <c r="H4" t="s">
        <v>39</v>
      </c>
      <c r="I4">
        <v>6.5000000000000002E-2</v>
      </c>
      <c r="J4">
        <v>3074.8</v>
      </c>
      <c r="K4">
        <v>0.3</v>
      </c>
      <c r="L4">
        <v>0.3</v>
      </c>
      <c r="M4">
        <v>0.5</v>
      </c>
      <c r="N4">
        <v>0.5</v>
      </c>
      <c r="O4">
        <v>0</v>
      </c>
      <c r="P4">
        <v>6149.7</v>
      </c>
      <c r="Q4">
        <v>77</v>
      </c>
      <c r="R4">
        <v>0</v>
      </c>
      <c r="S4">
        <v>0</v>
      </c>
      <c r="T4">
        <v>0</v>
      </c>
      <c r="U4">
        <v>0</v>
      </c>
      <c r="V4">
        <v>0.2</v>
      </c>
      <c r="W4">
        <v>182</v>
      </c>
      <c r="X4">
        <v>301</v>
      </c>
      <c r="Y4">
        <v>483</v>
      </c>
      <c r="Z4">
        <v>0</v>
      </c>
      <c r="AA4">
        <v>0.06</v>
      </c>
      <c r="AB4">
        <v>1912.8</v>
      </c>
      <c r="AC4">
        <v>200</v>
      </c>
      <c r="AD4">
        <v>0</v>
      </c>
      <c r="AE4">
        <v>0</v>
      </c>
      <c r="AF4">
        <v>0</v>
      </c>
      <c r="AG4">
        <v>200</v>
      </c>
    </row>
    <row r="5" spans="1:33" x14ac:dyDescent="0.55000000000000004">
      <c r="A5" t="s">
        <v>42</v>
      </c>
      <c r="B5" t="s">
        <v>34</v>
      </c>
      <c r="C5" t="s">
        <v>35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>
        <v>0</v>
      </c>
      <c r="J5">
        <v>2247.8000000000002</v>
      </c>
      <c r="K5">
        <v>0.4</v>
      </c>
      <c r="L5">
        <v>0.4</v>
      </c>
      <c r="M5">
        <v>0.4</v>
      </c>
      <c r="N5">
        <v>0.5</v>
      </c>
      <c r="O5">
        <v>0</v>
      </c>
      <c r="P5">
        <v>2247.8000000000002</v>
      </c>
      <c r="Q5">
        <v>71</v>
      </c>
      <c r="R5">
        <v>0</v>
      </c>
      <c r="S5">
        <v>0</v>
      </c>
      <c r="T5">
        <v>0</v>
      </c>
      <c r="U5">
        <v>0</v>
      </c>
      <c r="V5">
        <v>0.4</v>
      </c>
      <c r="W5">
        <v>182</v>
      </c>
      <c r="X5">
        <v>301</v>
      </c>
      <c r="Y5">
        <v>483</v>
      </c>
      <c r="Z5">
        <v>0</v>
      </c>
      <c r="AA5">
        <v>0</v>
      </c>
      <c r="AB5">
        <v>1216.0999999999999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55000000000000004">
      <c r="A6" t="s">
        <v>42</v>
      </c>
      <c r="B6" t="s">
        <v>34</v>
      </c>
      <c r="C6" t="s">
        <v>35</v>
      </c>
      <c r="D6" t="s">
        <v>37</v>
      </c>
      <c r="E6" t="s">
        <v>38</v>
      </c>
      <c r="F6" t="s">
        <v>37</v>
      </c>
      <c r="G6" t="s">
        <v>39</v>
      </c>
      <c r="H6" t="s">
        <v>37</v>
      </c>
      <c r="I6">
        <v>4.4999999999999998E-2</v>
      </c>
      <c r="J6">
        <v>2220.3000000000002</v>
      </c>
      <c r="K6">
        <v>0.3</v>
      </c>
      <c r="L6">
        <v>0.5</v>
      </c>
      <c r="M6">
        <v>3.6</v>
      </c>
      <c r="N6">
        <v>0.5</v>
      </c>
      <c r="O6">
        <v>0.4</v>
      </c>
      <c r="P6">
        <v>4440.6000000000004</v>
      </c>
      <c r="Q6">
        <v>71</v>
      </c>
      <c r="R6">
        <v>0</v>
      </c>
      <c r="S6">
        <v>0</v>
      </c>
      <c r="T6">
        <v>0</v>
      </c>
      <c r="U6">
        <v>0</v>
      </c>
      <c r="V6">
        <v>0.3</v>
      </c>
      <c r="W6">
        <v>182</v>
      </c>
      <c r="X6">
        <v>301</v>
      </c>
      <c r="Y6">
        <v>483</v>
      </c>
      <c r="Z6">
        <v>0</v>
      </c>
      <c r="AA6">
        <v>0.03</v>
      </c>
      <c r="AB6">
        <v>1355.2</v>
      </c>
      <c r="AC6">
        <v>100</v>
      </c>
      <c r="AD6">
        <v>0</v>
      </c>
      <c r="AE6">
        <v>0</v>
      </c>
      <c r="AF6">
        <v>0</v>
      </c>
      <c r="AG6">
        <v>100</v>
      </c>
    </row>
    <row r="7" spans="1:33" x14ac:dyDescent="0.55000000000000004">
      <c r="A7" t="s">
        <v>42</v>
      </c>
      <c r="B7" t="s">
        <v>34</v>
      </c>
      <c r="C7" t="s">
        <v>35</v>
      </c>
      <c r="D7" t="s">
        <v>39</v>
      </c>
      <c r="E7" t="s">
        <v>40</v>
      </c>
      <c r="F7" t="s">
        <v>39</v>
      </c>
      <c r="G7" t="s">
        <v>41</v>
      </c>
      <c r="H7" t="s">
        <v>39</v>
      </c>
      <c r="I7">
        <v>8.5000000000000006E-2</v>
      </c>
      <c r="J7">
        <v>2342.9</v>
      </c>
      <c r="K7">
        <v>0.3</v>
      </c>
      <c r="L7">
        <v>0.4</v>
      </c>
      <c r="M7">
        <v>0.7</v>
      </c>
      <c r="N7">
        <v>0.5</v>
      </c>
      <c r="O7">
        <v>0.1</v>
      </c>
      <c r="P7">
        <v>4685.8999999999996</v>
      </c>
      <c r="Q7">
        <v>71</v>
      </c>
      <c r="R7">
        <v>0</v>
      </c>
      <c r="S7">
        <v>0</v>
      </c>
      <c r="T7">
        <v>0</v>
      </c>
      <c r="U7">
        <v>0</v>
      </c>
      <c r="V7">
        <v>0.3</v>
      </c>
      <c r="W7">
        <v>182</v>
      </c>
      <c r="X7">
        <v>301</v>
      </c>
      <c r="Y7">
        <v>483</v>
      </c>
      <c r="Z7">
        <v>0</v>
      </c>
      <c r="AA7">
        <v>0.06</v>
      </c>
      <c r="AB7">
        <v>1430</v>
      </c>
      <c r="AC7">
        <v>200</v>
      </c>
      <c r="AD7">
        <v>0</v>
      </c>
      <c r="AE7">
        <v>0</v>
      </c>
      <c r="AF7">
        <v>0</v>
      </c>
      <c r="AG7">
        <v>200</v>
      </c>
    </row>
    <row r="8" spans="1:33" x14ac:dyDescent="0.55000000000000004">
      <c r="A8" t="s">
        <v>43</v>
      </c>
      <c r="B8" t="s">
        <v>34</v>
      </c>
      <c r="C8" t="s">
        <v>35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>
        <v>0</v>
      </c>
      <c r="J8">
        <v>2227.5</v>
      </c>
      <c r="K8">
        <v>0.4</v>
      </c>
      <c r="L8">
        <v>0.4</v>
      </c>
      <c r="M8">
        <v>0.4</v>
      </c>
      <c r="N8">
        <v>0.5</v>
      </c>
      <c r="O8">
        <v>0</v>
      </c>
      <c r="P8">
        <v>2227.5</v>
      </c>
      <c r="Q8">
        <v>77</v>
      </c>
      <c r="R8">
        <v>0</v>
      </c>
      <c r="S8">
        <v>0</v>
      </c>
      <c r="T8">
        <v>0</v>
      </c>
      <c r="U8">
        <v>0</v>
      </c>
      <c r="V8">
        <v>0.3</v>
      </c>
      <c r="W8">
        <v>182</v>
      </c>
      <c r="X8">
        <v>301</v>
      </c>
      <c r="Y8">
        <v>483</v>
      </c>
      <c r="Z8">
        <v>0</v>
      </c>
      <c r="AA8">
        <v>0</v>
      </c>
      <c r="AB8">
        <v>1218.0999999999999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55000000000000004">
      <c r="A9" t="s">
        <v>43</v>
      </c>
      <c r="B9" t="s">
        <v>34</v>
      </c>
      <c r="C9" t="s">
        <v>35</v>
      </c>
      <c r="D9" t="s">
        <v>37</v>
      </c>
      <c r="E9" t="s">
        <v>38</v>
      </c>
      <c r="F9" t="s">
        <v>37</v>
      </c>
      <c r="G9" t="s">
        <v>39</v>
      </c>
      <c r="H9" t="s">
        <v>37</v>
      </c>
      <c r="I9">
        <v>4.1000000000000002E-2</v>
      </c>
      <c r="J9">
        <v>2418.4</v>
      </c>
      <c r="K9">
        <v>0.3</v>
      </c>
      <c r="L9">
        <v>0.4</v>
      </c>
      <c r="M9">
        <v>0.5</v>
      </c>
      <c r="N9">
        <v>0.5</v>
      </c>
      <c r="O9">
        <v>0.1</v>
      </c>
      <c r="P9">
        <v>4836.7</v>
      </c>
      <c r="Q9">
        <v>77</v>
      </c>
      <c r="R9">
        <v>0</v>
      </c>
      <c r="S9">
        <v>0</v>
      </c>
      <c r="T9">
        <v>0</v>
      </c>
      <c r="U9">
        <v>0</v>
      </c>
      <c r="V9">
        <v>0.3</v>
      </c>
      <c r="W9">
        <v>182</v>
      </c>
      <c r="X9">
        <v>301</v>
      </c>
      <c r="Y9">
        <v>483</v>
      </c>
      <c r="Z9">
        <v>0</v>
      </c>
      <c r="AA9">
        <v>0.02</v>
      </c>
      <c r="AB9">
        <v>1504.4</v>
      </c>
      <c r="AC9">
        <v>100</v>
      </c>
      <c r="AD9">
        <v>0</v>
      </c>
      <c r="AE9">
        <v>0</v>
      </c>
      <c r="AF9">
        <v>0</v>
      </c>
      <c r="AG9">
        <v>100</v>
      </c>
    </row>
    <row r="10" spans="1:33" x14ac:dyDescent="0.55000000000000004">
      <c r="A10" t="s">
        <v>43</v>
      </c>
      <c r="B10" t="s">
        <v>34</v>
      </c>
      <c r="C10" t="s">
        <v>35</v>
      </c>
      <c r="D10" t="s">
        <v>39</v>
      </c>
      <c r="E10" t="s">
        <v>40</v>
      </c>
      <c r="F10" t="s">
        <v>39</v>
      </c>
      <c r="G10" t="s">
        <v>41</v>
      </c>
      <c r="H10" t="s">
        <v>39</v>
      </c>
      <c r="I10">
        <v>6.7000000000000004E-2</v>
      </c>
      <c r="J10">
        <v>3002.2</v>
      </c>
      <c r="K10">
        <v>0.3</v>
      </c>
      <c r="L10">
        <v>0.3</v>
      </c>
      <c r="M10">
        <v>1.7</v>
      </c>
      <c r="N10">
        <v>0.5</v>
      </c>
      <c r="O10">
        <v>0.1</v>
      </c>
      <c r="P10">
        <v>6004.3</v>
      </c>
      <c r="Q10">
        <v>77</v>
      </c>
      <c r="R10">
        <v>0</v>
      </c>
      <c r="S10">
        <v>0</v>
      </c>
      <c r="T10">
        <v>0</v>
      </c>
      <c r="U10">
        <v>0</v>
      </c>
      <c r="V10">
        <v>0.2</v>
      </c>
      <c r="W10">
        <v>182</v>
      </c>
      <c r="X10">
        <v>301</v>
      </c>
      <c r="Y10">
        <v>483</v>
      </c>
      <c r="Z10">
        <v>0.02</v>
      </c>
      <c r="AA10">
        <v>0.04</v>
      </c>
      <c r="AB10">
        <v>1867.5</v>
      </c>
      <c r="AC10">
        <v>200</v>
      </c>
      <c r="AD10">
        <v>0</v>
      </c>
      <c r="AE10">
        <v>0</v>
      </c>
      <c r="AF10">
        <v>0</v>
      </c>
      <c r="AG10">
        <v>200</v>
      </c>
    </row>
    <row r="11" spans="1:33" x14ac:dyDescent="0.55000000000000004">
      <c r="A11" t="s">
        <v>44</v>
      </c>
      <c r="B11" t="s">
        <v>45</v>
      </c>
      <c r="C11" t="s">
        <v>35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>
        <v>4.0000000000000001E-3</v>
      </c>
      <c r="J11">
        <v>260.10000000000002</v>
      </c>
      <c r="K11">
        <v>3.8</v>
      </c>
      <c r="L11">
        <v>3.8</v>
      </c>
      <c r="M11">
        <v>3.8</v>
      </c>
      <c r="N11">
        <v>3.5</v>
      </c>
      <c r="O11">
        <v>0</v>
      </c>
      <c r="P11">
        <v>260.10000000000002</v>
      </c>
      <c r="Q11">
        <v>134</v>
      </c>
      <c r="R11">
        <v>0</v>
      </c>
      <c r="S11">
        <v>0</v>
      </c>
      <c r="T11">
        <v>0</v>
      </c>
      <c r="U11">
        <v>0</v>
      </c>
      <c r="V11">
        <v>3.8</v>
      </c>
      <c r="W11">
        <v>342</v>
      </c>
      <c r="X11">
        <v>0</v>
      </c>
      <c r="Y11">
        <v>342</v>
      </c>
      <c r="Z11">
        <v>0</v>
      </c>
      <c r="AA11">
        <v>0</v>
      </c>
      <c r="AB11">
        <v>120.9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55000000000000004">
      <c r="A12" t="s">
        <v>44</v>
      </c>
      <c r="B12" t="s">
        <v>45</v>
      </c>
      <c r="C12" t="s">
        <v>35</v>
      </c>
      <c r="D12" t="s">
        <v>37</v>
      </c>
      <c r="E12" t="s">
        <v>38</v>
      </c>
      <c r="F12" t="s">
        <v>37</v>
      </c>
      <c r="G12" t="s">
        <v>46</v>
      </c>
      <c r="H12" t="s">
        <v>47</v>
      </c>
      <c r="I12">
        <v>9.9440000000000008</v>
      </c>
      <c r="J12">
        <v>10.1</v>
      </c>
      <c r="K12">
        <v>86.9</v>
      </c>
      <c r="L12">
        <v>99.4</v>
      </c>
      <c r="M12">
        <v>123.7</v>
      </c>
      <c r="N12">
        <v>97.5</v>
      </c>
      <c r="O12">
        <v>9.1999999999999993</v>
      </c>
      <c r="P12">
        <v>1025.8</v>
      </c>
      <c r="Q12">
        <v>134</v>
      </c>
      <c r="R12">
        <v>953.8</v>
      </c>
      <c r="S12">
        <v>953.8</v>
      </c>
      <c r="T12">
        <v>953.8</v>
      </c>
      <c r="U12">
        <v>0</v>
      </c>
      <c r="V12">
        <v>1</v>
      </c>
      <c r="W12">
        <v>342</v>
      </c>
      <c r="X12">
        <v>0</v>
      </c>
      <c r="Y12">
        <v>342</v>
      </c>
      <c r="Z12">
        <v>2.68</v>
      </c>
      <c r="AA12">
        <v>7.23</v>
      </c>
      <c r="AB12">
        <v>473.7</v>
      </c>
      <c r="AC12">
        <v>100</v>
      </c>
      <c r="AD12">
        <v>0</v>
      </c>
      <c r="AE12">
        <v>0</v>
      </c>
      <c r="AF12">
        <v>0</v>
      </c>
      <c r="AG12">
        <v>100</v>
      </c>
    </row>
    <row r="13" spans="1:33" x14ac:dyDescent="0.55000000000000004">
      <c r="A13" t="s">
        <v>44</v>
      </c>
      <c r="B13" t="s">
        <v>45</v>
      </c>
      <c r="C13" t="s">
        <v>35</v>
      </c>
      <c r="D13" t="s">
        <v>39</v>
      </c>
      <c r="E13" t="s">
        <v>40</v>
      </c>
      <c r="F13" t="s">
        <v>39</v>
      </c>
      <c r="G13" t="s">
        <v>48</v>
      </c>
      <c r="H13" t="s">
        <v>49</v>
      </c>
      <c r="I13">
        <v>21.283999999999999</v>
      </c>
      <c r="J13">
        <v>9.4</v>
      </c>
      <c r="K13">
        <v>91.5</v>
      </c>
      <c r="L13">
        <v>106.4</v>
      </c>
      <c r="M13">
        <v>178.7</v>
      </c>
      <c r="N13">
        <v>104.5</v>
      </c>
      <c r="O13">
        <v>11.8</v>
      </c>
      <c r="P13">
        <v>958.5</v>
      </c>
      <c r="Q13">
        <v>134</v>
      </c>
      <c r="R13">
        <v>930.7</v>
      </c>
      <c r="S13">
        <v>949.1</v>
      </c>
      <c r="T13">
        <v>975.1</v>
      </c>
      <c r="U13">
        <v>20.7</v>
      </c>
      <c r="V13">
        <v>1.1000000000000001</v>
      </c>
      <c r="W13">
        <v>342</v>
      </c>
      <c r="X13">
        <v>0</v>
      </c>
      <c r="Y13">
        <v>342</v>
      </c>
      <c r="Z13">
        <v>5.41</v>
      </c>
      <c r="AA13">
        <v>15.83</v>
      </c>
      <c r="AB13">
        <v>442.6</v>
      </c>
      <c r="AC13">
        <v>200</v>
      </c>
      <c r="AD13">
        <v>0</v>
      </c>
      <c r="AE13">
        <v>0</v>
      </c>
      <c r="AF13">
        <v>0</v>
      </c>
      <c r="AG13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B18392-3388-481A-81DE-E277095650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not-instru-clean</vt:lpstr>
      <vt:lpstr>instru-clean</vt:lpstr>
      <vt:lpstr>not-instrumented</vt:lpstr>
      <vt:lpstr>instrumented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Calavaro</dc:creator>
  <cp:lastModifiedBy>marco calavaro</cp:lastModifiedBy>
  <dcterms:created xsi:type="dcterms:W3CDTF">2015-06-05T18:19:34Z</dcterms:created>
  <dcterms:modified xsi:type="dcterms:W3CDTF">2024-11-18T17:58:41Z</dcterms:modified>
</cp:coreProperties>
</file>